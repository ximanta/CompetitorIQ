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xr:revisionPtr revIDLastSave="0" documentId="8_{CB83E70F-BD67-4537-901D-A7B12DD2C6A8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Comparison" sheetId="6" r:id="rId1"/>
    <sheet name="Price, Duration, Projects" sheetId="2" r:id="rId2"/>
    <sheet name="Topics Coverage" sheetId="3" state="hidden" r:id="rId3"/>
    <sheet name="Skills from JDs" sheetId="4" state="hidden" r:id="rId4"/>
    <sheet name="Skills w YOE split" sheetId="5" state="hidden" r:id="rId5"/>
  </sheets>
  <definedNames>
    <definedName name="_xlnm._FilterDatabase" localSheetId="3" hidden="1">'Skills from JDs'!$A$1:$D$1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6" i="6" l="1"/>
  <c r="B175" i="6"/>
  <c r="D169" i="6"/>
  <c r="D168" i="6"/>
  <c r="D172" i="6" s="1"/>
  <c r="D167" i="6"/>
  <c r="D166" i="6"/>
  <c r="D171" i="6" s="1"/>
  <c r="I45" i="5"/>
  <c r="I44" i="5"/>
  <c r="I46" i="5" s="1"/>
  <c r="C37" i="5"/>
  <c r="C36" i="5"/>
  <c r="C38" i="5" s="1"/>
  <c r="C64" i="4"/>
  <c r="C63" i="4"/>
  <c r="C65" i="4" s="1"/>
  <c r="C56" i="4"/>
  <c r="K55" i="4"/>
  <c r="C55" i="4"/>
  <c r="C57" i="4" s="1"/>
  <c r="K54" i="4"/>
  <c r="E2" i="2"/>
  <c r="C58" i="4" l="1"/>
  <c r="C66" i="4"/>
  <c r="C39" i="5"/>
  <c r="I4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01000000}">
      <text>
        <r>
          <rPr>
            <sz val="11"/>
            <color rgb="FF000000"/>
            <rFont val="Aptos Narrow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Only NIIT data
</t>
        </r>
      </text>
    </comment>
  </commentList>
</comments>
</file>

<file path=xl/sharedStrings.xml><?xml version="1.0" encoding="utf-8"?>
<sst xmlns="http://schemas.openxmlformats.org/spreadsheetml/2006/main" count="1139" uniqueCount="376">
  <si>
    <t>Category</t>
  </si>
  <si>
    <t>Topic</t>
  </si>
  <si>
    <t>Essential</t>
  </si>
  <si>
    <t>Program Name (NIIT)</t>
  </si>
  <si>
    <t>Digital Marketing Foundation</t>
  </si>
  <si>
    <t>Digital vs. traditional marketing</t>
  </si>
  <si>
    <t>Yes</t>
  </si>
  <si>
    <t>Inbound vs outbound marketing</t>
  </si>
  <si>
    <t>4Ps/5Ps of marketing</t>
  </si>
  <si>
    <t>No</t>
  </si>
  <si>
    <t>Influencer marketing</t>
  </si>
  <si>
    <t>Video marketing</t>
  </si>
  <si>
    <t>Voice search optimization</t>
  </si>
  <si>
    <t>UI vs. UX</t>
  </si>
  <si>
    <t>Website creation with WordPress</t>
  </si>
  <si>
    <t>Behavioral analytics &amp; marketing</t>
  </si>
  <si>
    <t>Marketing funnel evolution</t>
  </si>
  <si>
    <t>Customer personas &amp; digital persona</t>
  </si>
  <si>
    <t>AI-assisted personas</t>
  </si>
  <si>
    <t>Buyer journey mapping</t>
  </si>
  <si>
    <t>Content Marketing</t>
  </si>
  <si>
    <t>Content strategy development</t>
  </si>
  <si>
    <t>Content creation frameworks</t>
  </si>
  <si>
    <t>Storytelling techniques</t>
  </si>
  <si>
    <t>Blog/article writing</t>
  </si>
  <si>
    <t>Video content creation</t>
  </si>
  <si>
    <t>Podcast marketing</t>
  </si>
  <si>
    <t>Content distribution strategies</t>
  </si>
  <si>
    <t>Content repurposing</t>
  </si>
  <si>
    <t>Content calendars</t>
  </si>
  <si>
    <t>Content clustering</t>
  </si>
  <si>
    <t>Search Engine Optimization (SEO)</t>
  </si>
  <si>
    <t>On-page SEO</t>
  </si>
  <si>
    <t>Off-page SEO</t>
  </si>
  <si>
    <t>Technical SEO</t>
  </si>
  <si>
    <t>Google algorithms &amp; ranking factors</t>
  </si>
  <si>
    <t>Asset optimization</t>
  </si>
  <si>
    <t>Link building</t>
  </si>
  <si>
    <t>E-commerce SEO</t>
  </si>
  <si>
    <t>SEO audits</t>
  </si>
  <si>
    <t>Conversion rate optimization (CRO)</t>
  </si>
  <si>
    <t>Answer Engine Optimization (AEO)</t>
  </si>
  <si>
    <t>Keyword research &amp; mapping</t>
  </si>
  <si>
    <t>Generative Engine Optimization (GEO)</t>
  </si>
  <si>
    <t>Schema markup</t>
  </si>
  <si>
    <t>Digital authority &amp; E-E-A-T</t>
  </si>
  <si>
    <t>Reputation management</t>
  </si>
  <si>
    <t>YouTube SEO</t>
  </si>
  <si>
    <t>Search Engine Marketing (SEM)</t>
  </si>
  <si>
    <t>Pay-per-click (PPC) fundamentals</t>
  </si>
  <si>
    <t>Google Ads platform</t>
  </si>
  <si>
    <t>Ad ranking &amp; positioning</t>
  </si>
  <si>
    <t>Bidding strategies &amp; budget management</t>
  </si>
  <si>
    <t>Keyword research for paid search</t>
  </si>
  <si>
    <t>Ad extensions</t>
  </si>
  <si>
    <t>Automation rules</t>
  </si>
  <si>
    <t>Dynamic keyword insertion</t>
  </si>
  <si>
    <t>Remarketing &amp; retargeting ads</t>
  </si>
  <si>
    <t>Shopping ads &amp; smart campaigns</t>
  </si>
  <si>
    <t>Campaign performance optimization</t>
  </si>
  <si>
    <t>Paid Campaign Strategy</t>
  </si>
  <si>
    <t>Paid campaign analysis</t>
  </si>
  <si>
    <t>Conversion funnel optimization</t>
  </si>
  <si>
    <t>CRO benchmarks</t>
  </si>
  <si>
    <t>Landing page design &amp; optimization</t>
  </si>
  <si>
    <t>Ad tracking &amp; measurement</t>
  </si>
  <si>
    <t>Facebook Pixel implementation</t>
  </si>
  <si>
    <t>Attribution modeling</t>
  </si>
  <si>
    <t>A/B testing methodology</t>
  </si>
  <si>
    <t>Multivariate testing</t>
  </si>
  <si>
    <t>User testing methodologies</t>
  </si>
  <si>
    <t>Personalization strategies</t>
  </si>
  <si>
    <t>Social Media Marketing</t>
  </si>
  <si>
    <t>Social media channels &amp; platform landscape</t>
  </si>
  <si>
    <t>Brand management across channels</t>
  </si>
  <si>
    <t>Social media strategy development</t>
  </si>
  <si>
    <t>KPI measurement &amp; analytics</t>
  </si>
  <si>
    <t>Organic social media marketing</t>
  </si>
  <si>
    <t>Paid social advertising</t>
  </si>
  <si>
    <t>Platform-specific ads (Facebook, Instagram, LinkedIn)</t>
  </si>
  <si>
    <t>Mobile-optimized ad content</t>
  </si>
  <si>
    <t>AI-assisted content creation</t>
  </si>
  <si>
    <t>Influencer outreach &amp; partnerships</t>
  </si>
  <si>
    <t>Meta Ads Manager</t>
  </si>
  <si>
    <t xml:space="preserve">Twitter (X) </t>
  </si>
  <si>
    <t>WhatsApp Marketing</t>
  </si>
  <si>
    <t>Short-form video (Reels, Shorts)</t>
  </si>
  <si>
    <t>Live streaming strategies</t>
  </si>
  <si>
    <t>Community building &amp; management</t>
  </si>
  <si>
    <t>User-generated content campaigns</t>
  </si>
  <si>
    <t>Video &amp; Multimedia Marketing</t>
  </si>
  <si>
    <t>Video marketing strategy</t>
  </si>
  <si>
    <t>YouTube marketing</t>
  </si>
  <si>
    <t>Short-form video creation</t>
  </si>
  <si>
    <t>Long-form video content</t>
  </si>
  <si>
    <t>Video advertising formats</t>
  </si>
  <si>
    <t>Video editing basics</t>
  </si>
  <si>
    <t>Live video marketing</t>
  </si>
  <si>
    <t>Email &amp; Mobile Marketing</t>
  </si>
  <si>
    <t>Email marketing strategy</t>
  </si>
  <si>
    <t>Email campaign execution (Mailchimp, etc.)</t>
  </si>
  <si>
    <t>Email automation &amp; workflows</t>
  </si>
  <si>
    <t>Lead generation &amp; nurturing</t>
  </si>
  <si>
    <t>CRM pipeline creation &amp; management</t>
  </si>
  <si>
    <t>Automated email campaigns</t>
  </si>
  <si>
    <t>Email A/B testing</t>
  </si>
  <si>
    <t>Mobile marketing fundamentals</t>
  </si>
  <si>
    <t>Mobile-first design strategies</t>
  </si>
  <si>
    <t>App store optimization (ASO)</t>
  </si>
  <si>
    <t>App monetization strategies</t>
  </si>
  <si>
    <t>Mobile advertising on social platforms</t>
  </si>
  <si>
    <t>Marketing Automation &amp; MarTech</t>
  </si>
  <si>
    <t>Marketing automation platforms (HubSpot, Marketo, ActiveCampaign)</t>
  </si>
  <si>
    <t>Workflow automation</t>
  </si>
  <si>
    <t>Lead scoring &amp; qualification</t>
  </si>
  <si>
    <t>Behavioral triggers &amp; segmentation</t>
  </si>
  <si>
    <t>MarTech stack integration</t>
  </si>
  <si>
    <t>Customer Data Platforms (CDP)</t>
  </si>
  <si>
    <t>Tag management (Google Tag Manager)</t>
  </si>
  <si>
    <t>E-commerce &amp; Performance Marketing</t>
  </si>
  <si>
    <t>E-commerce platforms (Shopify, WooCommerce)</t>
  </si>
  <si>
    <t>E-commerce funnel analysis</t>
  </si>
  <si>
    <t>Product feed optimization</t>
  </si>
  <si>
    <t>Marketplace marketing (Amazon, Etsy)</t>
  </si>
  <si>
    <t>Affiliate marketing</t>
  </si>
  <si>
    <t>Programmatic advertising basics</t>
  </si>
  <si>
    <t>Dynamic creative optimization (DCO)</t>
  </si>
  <si>
    <t>AI &amp; Emerging Technologies</t>
  </si>
  <si>
    <t>AI tools for marketers</t>
  </si>
  <si>
    <t>Prompt engineering for marketing</t>
  </si>
  <si>
    <t>AI-assisted content generation</t>
  </si>
  <si>
    <t>Predictive analytics with AI</t>
  </si>
  <si>
    <t>Marketing AI ethics</t>
  </si>
  <si>
    <t>Chatbot marketing</t>
  </si>
  <si>
    <t>Conversational AI for customer service</t>
  </si>
  <si>
    <t>AR/VR marketing applications</t>
  </si>
  <si>
    <t>Analytics, Data &amp; ROI</t>
  </si>
  <si>
    <t>KPIs &amp; metrics framework</t>
  </si>
  <si>
    <t>Google Analytics 4 (GA4)</t>
  </si>
  <si>
    <t>Advanced GA4 features</t>
  </si>
  <si>
    <t>Behavior analysis tools (Microsoft Clarity, Hotjar)</t>
  </si>
  <si>
    <t>Engagement vs. conversion rates</t>
  </si>
  <si>
    <t>Bounce rate &amp; exit rate analysis</t>
  </si>
  <si>
    <t>Campaign ROI calculation</t>
  </si>
  <si>
    <t>Multi-channel attribution</t>
  </si>
  <si>
    <t>Performance metrics across channels</t>
  </si>
  <si>
    <t>Firebase for app analytics</t>
  </si>
  <si>
    <t>Customer lifetime value (CLV)</t>
  </si>
  <si>
    <t>Cohort analysis</t>
  </si>
  <si>
    <t>Data visualization &amp; reporting (Lookerstudio)</t>
  </si>
  <si>
    <t>Data privacy &amp; compliance (GDPR, CCPA)</t>
  </si>
  <si>
    <t>First-party data strategies</t>
  </si>
  <si>
    <t>Server-side tracking</t>
  </si>
  <si>
    <t>Online Reputation Management (ORM)</t>
  </si>
  <si>
    <t>Reputation monitoring &amp; enhancement</t>
  </si>
  <si>
    <t>Crisis management &amp; response</t>
  </si>
  <si>
    <t>Review management strategies</t>
  </si>
  <si>
    <t>ORM strategy development</t>
  </si>
  <si>
    <t>Brand sentiment analysis</t>
  </si>
  <si>
    <t>Strategic Planning &amp; Business Skills</t>
  </si>
  <si>
    <t>Marketing strategy development</t>
  </si>
  <si>
    <t>Competitive analysis frameworks</t>
  </si>
  <si>
    <t>SWOT analysis</t>
  </si>
  <si>
    <t>Budget planning &amp; allocation</t>
  </si>
  <si>
    <t>Stakeholder communication</t>
  </si>
  <si>
    <t>Business case development</t>
  </si>
  <si>
    <t>Agile marketing methodology</t>
  </si>
  <si>
    <t>Campaign planning &amp; execution</t>
  </si>
  <si>
    <t>Graphic Design &amp; Creative</t>
  </si>
  <si>
    <t>Social media graphics &amp; poster design</t>
  </si>
  <si>
    <t>Color theory basics</t>
  </si>
  <si>
    <t>Template usage &amp; customization</t>
  </si>
  <si>
    <t>Visual branding &amp; consistency</t>
  </si>
  <si>
    <t>Design tools (Canva, Photopea, Adobe Express)</t>
  </si>
  <si>
    <t>Legal &amp; Ethical Considerations</t>
  </si>
  <si>
    <t>Advertising compliance (FTC guidelines)</t>
  </si>
  <si>
    <t>Disclosure requirements for sponsored content</t>
  </si>
  <si>
    <t>Accessibility standards (WCAG)</t>
  </si>
  <si>
    <t>Intellectual property basics</t>
  </si>
  <si>
    <t>Data privacy regulations</t>
  </si>
  <si>
    <t>Interview Preparation &amp; Soft Skills</t>
  </si>
  <si>
    <t>Resume building for digital marketing roles</t>
  </si>
  <si>
    <t>Professional communication skills</t>
  </si>
  <si>
    <t>Teamwork &amp; collaboration</t>
  </si>
  <si>
    <t>Mock interviews &amp; practice</t>
  </si>
  <si>
    <t>Portfolio development</t>
  </si>
  <si>
    <r>
      <rPr>
        <sz val="11"/>
        <color rgb="FF000000"/>
        <rFont val="Calibri"/>
        <family val="2"/>
        <charset val="1"/>
      </rPr>
      <t>TOPIC END</t>
    </r>
    <r>
      <rPr>
        <sz val="11"/>
        <color rgb="FF000000"/>
        <rFont val="Aptos Narrow"/>
        <family val="2"/>
        <charset val="1"/>
      </rPr>
      <t xml:space="preserve"> </t>
    </r>
  </si>
  <si>
    <t>Essential Yes, Present No</t>
  </si>
  <si>
    <t>Essential No, Present Yes</t>
  </si>
  <si>
    <t>Essential No, Present No</t>
  </si>
  <si>
    <t>Essential Yes, Present Yes %</t>
  </si>
  <si>
    <t>Essential No, Present Yes %</t>
  </si>
  <si>
    <t>Essential Topics Count</t>
  </si>
  <si>
    <t>Desirable Topics Count</t>
  </si>
  <si>
    <t>Provider</t>
  </si>
  <si>
    <t>Course Name</t>
  </si>
  <si>
    <t>Price</t>
  </si>
  <si>
    <t>Duration</t>
  </si>
  <si>
    <t>Projects</t>
  </si>
  <si>
    <t>Additional Services</t>
  </si>
  <si>
    <t>Eligibility Criteria</t>
  </si>
  <si>
    <t>Website Link</t>
  </si>
  <si>
    <t>Remarks</t>
  </si>
  <si>
    <t xml:space="preserve">NIIT </t>
  </si>
  <si>
    <t>Digital Marketing with GenAI Advanced Program</t>
  </si>
  <si>
    <t>23 weeks</t>
  </si>
  <si>
    <t>1. Digital Marketing Freelancer – Lead Generating Brand, 2. Creator Collaboration Agency – Attract Creators and Brands, 3. D2C Audio Brand – Launching In-Ear Monitors (IEMs), 4. Launch Strategy for a Modern Skincare Brand, 5. Yoga Studio Growth &amp; Membership Campaign, 6. Pitch and Execute Your Own Digital Marketing Idea</t>
  </si>
  <si>
    <t>graduation</t>
  </si>
  <si>
    <t>https://www.niit.com/india/course/digital-marketing-program</t>
  </si>
  <si>
    <t>Essential Topics Covered by Us and not others</t>
  </si>
  <si>
    <t>Essential Topics Covered by Us and at most 2 competitors</t>
  </si>
  <si>
    <t>Essential &amp; Non- Essential Topics NOT Covered by Us but by Others</t>
  </si>
  <si>
    <t>Python &amp; Backend</t>
  </si>
  <si>
    <t>Testing (pytest, unit tests)</t>
  </si>
  <si>
    <t>Concurrency (threading/multithreading/async)</t>
  </si>
  <si>
    <t>Web &amp; Frontend</t>
  </si>
  <si>
    <t>AI dev tools (Cursor, Windsurf, Replit, vo.dev, Lovable)</t>
  </si>
  <si>
    <t>Typing &amp; data validation (type hints, @dataclass, Pydantic)</t>
  </si>
  <si>
    <t>FastAPI for services/orchestration</t>
  </si>
  <si>
    <t>Frontend UI (Streamlit/Gradio)</t>
  </si>
  <si>
    <t>Auth &amp; security (JWT, CORS, RBAC)</t>
  </si>
  <si>
    <t>File I/O, logging &amp; error handling</t>
  </si>
  <si>
    <t>Mobile app integration (iOS/Android)</t>
  </si>
  <si>
    <t>OpenAPI specifications</t>
  </si>
  <si>
    <t>Object-Oriented Programming (OOP)</t>
  </si>
  <si>
    <t>Web apps with Flask</t>
  </si>
  <si>
    <t>RAG &amp; Retrieval</t>
  </si>
  <si>
    <t>Citations &amp; source tracking</t>
  </si>
  <si>
    <t>Agent Frameworks &amp; Patterns</t>
  </si>
  <si>
    <t>AutoGen</t>
  </si>
  <si>
    <t>ETL for docs (PDF/HTML/CSV) &amp; metadata</t>
  </si>
  <si>
    <t>OpenAI Assistants API</t>
  </si>
  <si>
    <t>Rerankers</t>
  </si>
  <si>
    <t>Version control (Git/GitHub/GitLab)</t>
  </si>
  <si>
    <t>Phidata</t>
  </si>
  <si>
    <t>Retries &amp; circuit breakers</t>
  </si>
  <si>
    <t>Swarm/BeeAI</t>
  </si>
  <si>
    <t>LLM Fundamentals &amp; Prompting</t>
  </si>
  <si>
    <t>Tokens &amp; context windows</t>
  </si>
  <si>
    <t>API integration &amp; rate limits, key management</t>
  </si>
  <si>
    <t>Cloud &amp; MLOps</t>
  </si>
  <si>
    <t>Testing in prod: SLOs, shadow runs, gold sets</t>
  </si>
  <si>
    <t>Streaming &amp; comms (WebSocket, SSE)</t>
  </si>
  <si>
    <t>Open vs closed models; model selection</t>
  </si>
  <si>
    <t>Agent memory / short-term memory</t>
  </si>
  <si>
    <t>Prompt evaluation &amp; debugging</t>
  </si>
  <si>
    <t>Chunking strategies</t>
  </si>
  <si>
    <t>Fine-tuning &amp; RL</t>
  </si>
  <si>
    <t>Fine-tuning (LoRA/QLoRA/PEFT/DoRA)</t>
  </si>
  <si>
    <t>RLHF/RHLF &amp; Reinforcement Learning</t>
  </si>
  <si>
    <t>ML/DS Libraries</t>
  </si>
  <si>
    <t>NumPy &amp; Pandas</t>
  </si>
  <si>
    <t>Essential Topics NOT Covered by Us</t>
  </si>
  <si>
    <t>Guardrails, refusals &amp; prompt injection defense</t>
  </si>
  <si>
    <t>PyTorch / TensorFlow / Keras</t>
  </si>
  <si>
    <t>Scikit-learn &amp; classical ML (regression, classification, metrics)</t>
  </si>
  <si>
    <t>MCP (Model Context Protocol)</t>
  </si>
  <si>
    <t>Visualization (Matplotlib/Seaborn/Plotly/Bokeh/BertViz)</t>
  </si>
  <si>
    <t>Planning/Reasoning: ReAct, Reflexion, Self-corrective, planner/actor/critic</t>
  </si>
  <si>
    <t>Multimodal</t>
  </si>
  <si>
    <t>Vision/Audio/Video (CLIP, DALL·E, Diffusion, Whisper, TTS, VLMs, Sora)</t>
  </si>
  <si>
    <t>Copilot Studio / Microsoft Copilot ecosystem</t>
  </si>
  <si>
    <t>Tracing/Observability (Langfuse, OpenTelemetry)</t>
  </si>
  <si>
    <t>Multi-Agent Reinforcement Learning (MARL)</t>
  </si>
  <si>
    <t>MLOps foundations (MLflow, versioning)</t>
  </si>
  <si>
    <t>Performance &amp; cost optimization (latency, P95/TSR)</t>
  </si>
  <si>
    <t>Security &amp; governance (RBAC, PII redaction, API protection, access control, regulatory)</t>
  </si>
  <si>
    <t>Skill</t>
  </si>
  <si>
    <t>Count of Mentions in JDs</t>
  </si>
  <si>
    <t>Present in our Offering</t>
  </si>
  <si>
    <t>Marked Essential (if present)</t>
  </si>
  <si>
    <t>Topics in Offering but not in JD Skills</t>
  </si>
  <si>
    <t>Python</t>
  </si>
  <si>
    <t>Deployment (Cloud/Edge)</t>
  </si>
  <si>
    <t>Machine Learning (ML)</t>
  </si>
  <si>
    <t>-</t>
  </si>
  <si>
    <t>Cloud Providers &amp; SDKs</t>
  </si>
  <si>
    <t>Artificial Intelligence (AI)</t>
  </si>
  <si>
    <t>Scikit-learn &amp; Classical ML</t>
  </si>
  <si>
    <t>LLMOps (Monitoring/Tracing/Eval)</t>
  </si>
  <si>
    <t>Natural Language Processing (NLP)</t>
  </si>
  <si>
    <t>CrewAI</t>
  </si>
  <si>
    <t>Deep Learning (DL)</t>
  </si>
  <si>
    <t>Dev environment (VS Code, Jupyter, Colab)</t>
  </si>
  <si>
    <t>Data Science</t>
  </si>
  <si>
    <t>Fine-tuning</t>
  </si>
  <si>
    <t>Embeddings &amp; vector databases (Chroma, Pinecone, Weaviate, FAISS, pgvector)</t>
  </si>
  <si>
    <t>Containerization &amp; CI/CD</t>
  </si>
  <si>
    <t>SQL</t>
  </si>
  <si>
    <t>Amazon Web Services (AWS)</t>
  </si>
  <si>
    <t>Hallucinations, jailbreaks &amp; safety</t>
  </si>
  <si>
    <t>Performance &amp; Cost</t>
  </si>
  <si>
    <t>Hugging Face Transformers</t>
  </si>
  <si>
    <t>Agent Design Patterns</t>
  </si>
  <si>
    <t>LlamaIndex</t>
  </si>
  <si>
    <t>Cloud</t>
  </si>
  <si>
    <t>LangChain</t>
  </si>
  <si>
    <t>Prompt Engineering</t>
  </si>
  <si>
    <t>Agent</t>
  </si>
  <si>
    <t>MLOps Foundations</t>
  </si>
  <si>
    <t>RAG evaluation &amp; fallback strategies</t>
  </si>
  <si>
    <t>PyTorch</t>
  </si>
  <si>
    <t>RAG pipeline (build)</t>
  </si>
  <si>
    <t>Security &amp; Governance</t>
  </si>
  <si>
    <t>Java</t>
  </si>
  <si>
    <t>Neural Networks</t>
  </si>
  <si>
    <t>Predictive Modeling</t>
  </si>
  <si>
    <t>R</t>
  </si>
  <si>
    <t>Observability (Langfuse/Otel)</t>
  </si>
  <si>
    <t>GenAI</t>
  </si>
  <si>
    <t>Transformers &amp; attention (basics)</t>
  </si>
  <si>
    <t>PyTorch/TensorFlow/Keras</t>
  </si>
  <si>
    <t>TensorFlow</t>
  </si>
  <si>
    <t>Google Cloud Platform (GCP)</t>
  </si>
  <si>
    <t>Semantic/Hybrid Search</t>
  </si>
  <si>
    <t>AI Agents</t>
  </si>
  <si>
    <t>Frontend UI (React)</t>
  </si>
  <si>
    <t>Tool Calling &amp; Chaining</t>
  </si>
  <si>
    <t>Agentic AI</t>
  </si>
  <si>
    <t>Knowledge graphs in RAG</t>
  </si>
  <si>
    <t>Docker</t>
  </si>
  <si>
    <t>LLM caching &amp; prompt/version management (LCEL/Runnable)</t>
  </si>
  <si>
    <t>Prompt Eval &amp; Debug</t>
  </si>
  <si>
    <t>LangFlow</t>
  </si>
  <si>
    <t>LangGraph</t>
  </si>
  <si>
    <t>AI/ML</t>
  </si>
  <si>
    <t>Computer Science</t>
  </si>
  <si>
    <t>Statistics</t>
  </si>
  <si>
    <t>scikit-learn</t>
  </si>
  <si>
    <t>Algorithms</t>
  </si>
  <si>
    <t>Postgres + pgvector</t>
  </si>
  <si>
    <t>Data Modeling</t>
  </si>
  <si>
    <t>Logging &amp; Errors</t>
  </si>
  <si>
    <t>RPC/Realtime (gRPC/WebRTC)</t>
  </si>
  <si>
    <t>File I/O</t>
  </si>
  <si>
    <t>Skills taken from 2598 Job Descriptions and Keywords from Job Listings on Naukri, Threshold of 10% was considered in frequency of occurance of Skills across JDs</t>
  </si>
  <si>
    <t>% of Topics Covered in Offering that are mentioned in JDs</t>
  </si>
  <si>
    <t>No. of Yes</t>
  </si>
  <si>
    <t>No.of Yes</t>
  </si>
  <si>
    <t>No. of No</t>
  </si>
  <si>
    <t>No.of No</t>
  </si>
  <si>
    <t>%Yes</t>
  </si>
  <si>
    <t>%No</t>
  </si>
  <si>
    <t>% of Topics Marked Essential that are mentioned in JDs</t>
  </si>
  <si>
    <t>Skills in JDs of 0-2 Yoe</t>
  </si>
  <si>
    <t>Skills in JDs of 3+ Yoe</t>
  </si>
  <si>
    <t>Keyword</t>
  </si>
  <si>
    <t>Count</t>
  </si>
  <si>
    <t>Transformers &amp; Attention</t>
  </si>
  <si>
    <t>HF Transformers</t>
  </si>
  <si>
    <t>Vision/Audio/Video</t>
  </si>
  <si>
    <t>RLHF/RHLF &amp; RL</t>
  </si>
  <si>
    <t>ETL for Docs</t>
  </si>
  <si>
    <t>Embeddings &amp; Vector DBs</t>
  </si>
  <si>
    <t>React UI</t>
  </si>
  <si>
    <t>FastAPI</t>
  </si>
  <si>
    <t>API &amp; Keys</t>
  </si>
  <si>
    <t>Version Control</t>
  </si>
  <si>
    <t>ReAct/Reflexion/Self-corrective/PAC</t>
  </si>
  <si>
    <t>Flask</t>
  </si>
  <si>
    <t>Visualization Libs</t>
  </si>
  <si>
    <t>gRPC/WebRTC</t>
  </si>
  <si>
    <t>Safety (Hallucinations/Jailbreaks)</t>
  </si>
  <si>
    <t>Guardrails &amp; Injection Defense</t>
  </si>
  <si>
    <t>From 767 Job Listings on Naukri</t>
  </si>
  <si>
    <t>Tokens &amp; Context</t>
  </si>
  <si>
    <t>Our offerings cover 67.9% of the skills mentioned in the JDs of Job Listings for 0-2 YOE</t>
  </si>
  <si>
    <t>Caching &amp; Versions (LCEL/Runnable)</t>
  </si>
  <si>
    <t>% of Topics Covered in Offering mentioned in JDs (0-2 YOE)</t>
  </si>
  <si>
    <t>Auth &amp; Security</t>
  </si>
  <si>
    <t>% of Yes</t>
  </si>
  <si>
    <t>RAG Eval &amp; Fallback</t>
  </si>
  <si>
    <t>% of No</t>
  </si>
  <si>
    <t>From 1830 Job Listings on Naukri</t>
  </si>
  <si>
    <t>Our offerings cover 83.3% of the skills mentioned in the JDs of Job Listings for 3+ YOE</t>
  </si>
  <si>
    <t>% of Topics Covered in Offering mentioned in JDs (3+ YOE)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</si>
</sst>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 &quot;#,##0;[Red]&quot;₹ -&quot;#,##0"/>
    <numFmt numFmtId="165" formatCode="0.0"/>
  </numFmts>
  <fonts count="14">
    <font>
      <sz val="11"/>
      <color rgb="FF000000"/>
      <name val="Aptos Narrow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111111"/>
      <name val="Calibri"/>
      <family val="2"/>
      <charset val="1"/>
    </font>
    <font>
      <b/>
      <sz val="11"/>
      <color rgb="FFFFFFFF"/>
      <name val="Aptos Narrow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Aptos Narrow"/>
      <family val="2"/>
      <charset val="1"/>
    </font>
    <font>
      <b/>
      <sz val="12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u/>
      <sz val="11"/>
      <color rgb="FF467886"/>
      <name val="Aptos Narrow"/>
      <family val="2"/>
      <charset val="1"/>
    </font>
    <font>
      <sz val="9"/>
      <color rgb="FF000000"/>
      <name val="Tahoma"/>
      <family val="2"/>
      <charset val="1"/>
    </font>
    <font>
      <b/>
      <sz val="14"/>
      <color rgb="FF000000"/>
      <name val="Aptos Narrow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ptos Narrow"/>
      <family val="2"/>
      <charset val="1"/>
    </font>
    <font>
      <sz val="12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EA7500"/>
        <bgColor rgb="FFE87331"/>
      </patternFill>
    </fill>
    <fill>
      <patternFill patternType="solid">
        <fgColor rgb="FFB2B2B2"/>
        <bgColor rgb="FF969696"/>
      </patternFill>
    </fill>
    <fill>
      <patternFill patternType="solid">
        <fgColor rgb="FF3465A4"/>
        <bgColor rgb="FF467886"/>
      </patternFill>
    </fill>
    <fill>
      <patternFill patternType="solid">
        <fgColor rgb="FFD9D9D9"/>
        <bgColor rgb="FFE8E8E8"/>
      </patternFill>
    </fill>
    <fill>
      <patternFill patternType="solid">
        <fgColor rgb="FF145F82"/>
        <bgColor rgb="FF3465A4"/>
      </patternFill>
    </fill>
    <fill>
      <patternFill patternType="solid">
        <fgColor rgb="FFE87331"/>
        <bgColor rgb="FFEA7500"/>
      </patternFill>
    </fill>
    <fill>
      <patternFill patternType="solid">
        <fgColor rgb="FFE8E8E8"/>
        <bgColor rgb="FFD9D9D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8" fillId="0" borderId="0" applyBorder="0" applyProtection="0"/>
  </cellStyleXfs>
  <cellXfs count="43">
    <xf numFmtId="0" fontId="0" fillId="0" borderId="0" xfId="0"/>
    <xf numFmtId="0" fontId="0" fillId="0" borderId="2" xfId="0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5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2" fontId="0" fillId="0" borderId="0" xfId="0" applyNumberFormat="1"/>
    <xf numFmtId="0" fontId="5" fillId="0" borderId="0" xfId="0" applyFont="1"/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" fontId="7" fillId="0" borderId="5" xfId="0" applyNumberFormat="1" applyFont="1" applyBorder="1" applyAlignment="1">
      <alignment vertical="center"/>
    </xf>
    <xf numFmtId="0" fontId="8" fillId="0" borderId="5" xfId="1" applyBorder="1" applyAlignment="1" applyProtection="1">
      <alignment vertical="center"/>
    </xf>
    <xf numFmtId="0" fontId="11" fillId="0" borderId="4" xfId="0" applyFont="1" applyBorder="1"/>
    <xf numFmtId="0" fontId="11" fillId="0" borderId="4" xfId="0" applyFont="1" applyBorder="1" applyAlignment="1">
      <alignment wrapText="1"/>
    </xf>
    <xf numFmtId="0" fontId="4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0" fillId="0" borderId="1" xfId="0" applyBorder="1"/>
    <xf numFmtId="165" fontId="0" fillId="0" borderId="0" xfId="0" applyNumberFormat="1"/>
    <xf numFmtId="165" fontId="0" fillId="0" borderId="1" xfId="0" applyNumberFormat="1" applyBorder="1"/>
    <xf numFmtId="0" fontId="12" fillId="0" borderId="1" xfId="0" applyFont="1" applyBorder="1" applyAlignment="1">
      <alignment horizontal="center" wrapText="1"/>
    </xf>
    <xf numFmtId="0" fontId="12" fillId="0" borderId="0" xfId="0" applyFont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11" fillId="0" borderId="0" xfId="0" applyFont="1"/>
    <xf numFmtId="0" fontId="13" fillId="8" borderId="6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E8E8E8"/>
      <rgbColor rgb="FFCCFFFF"/>
      <rgbColor rgb="FF660066"/>
      <rgbColor rgb="FFE87331"/>
      <rgbColor rgb="FF145F8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465A4"/>
      <rgbColor rgb="FF33CCCC"/>
      <rgbColor rgb="FF99CC00"/>
      <rgbColor rgb="FFFFCC00"/>
      <rgbColor rgb="FFFF9900"/>
      <rgbColor rgb="FFEA7500"/>
      <rgbColor rgb="FF467886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niit.com/india/course/digital-marketing-prog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151B-1A4D-457C-BFEF-B3DBB008C2E7}">
  <dimension ref="A1:D176"/>
  <sheetViews>
    <sheetView workbookViewId="0">
      <selection sqref="A1:D176"/>
    </sheetView>
  </sheetViews>
  <sheetFormatPr defaultRowHeight="15"/>
  <cols>
    <col min="1" max="1" width="27.140625" customWidth="1"/>
    <col min="2" max="2" width="45.5703125" customWidth="1"/>
    <col min="3" max="3" width="10.7109375" customWidth="1"/>
    <col min="4" max="4" width="21.85546875" customWidth="1"/>
  </cols>
  <sheetData>
    <row r="1" spans="1:4" ht="45.75">
      <c r="A1" s="9" t="s">
        <v>0</v>
      </c>
      <c r="B1" s="10" t="s">
        <v>1</v>
      </c>
      <c r="C1" s="11" t="s">
        <v>2</v>
      </c>
      <c r="D1" s="10" t="s">
        <v>3</v>
      </c>
    </row>
    <row r="2" spans="1:4" ht="72.75">
      <c r="A2" s="8" t="s">
        <v>4</v>
      </c>
      <c r="B2" s="12" t="s">
        <v>5</v>
      </c>
      <c r="C2" s="13" t="s">
        <v>6</v>
      </c>
      <c r="D2" s="14" t="s">
        <v>6</v>
      </c>
    </row>
    <row r="3" spans="1:4" ht="72.75">
      <c r="A3" s="8"/>
      <c r="B3" s="12" t="s">
        <v>7</v>
      </c>
      <c r="C3" s="13" t="s">
        <v>6</v>
      </c>
      <c r="D3" s="14" t="s">
        <v>6</v>
      </c>
    </row>
    <row r="4" spans="1:4" ht="57.75">
      <c r="A4" s="8"/>
      <c r="B4" s="12" t="s">
        <v>8</v>
      </c>
      <c r="C4" s="13" t="s">
        <v>6</v>
      </c>
      <c r="D4" s="14" t="s">
        <v>9</v>
      </c>
    </row>
    <row r="5" spans="1:4" ht="57.75">
      <c r="A5" s="8"/>
      <c r="B5" s="12" t="s">
        <v>10</v>
      </c>
      <c r="C5" s="13" t="s">
        <v>9</v>
      </c>
      <c r="D5" s="14" t="s">
        <v>6</v>
      </c>
    </row>
    <row r="6" spans="1:4" ht="43.5">
      <c r="A6" s="8"/>
      <c r="B6" s="12" t="s">
        <v>11</v>
      </c>
      <c r="C6" s="13" t="s">
        <v>9</v>
      </c>
      <c r="D6" s="14" t="s">
        <v>6</v>
      </c>
    </row>
    <row r="7" spans="1:4" ht="57.75">
      <c r="A7" s="8"/>
      <c r="B7" s="12" t="s">
        <v>12</v>
      </c>
      <c r="C7" s="13" t="s">
        <v>9</v>
      </c>
      <c r="D7" s="14" t="s">
        <v>9</v>
      </c>
    </row>
    <row r="8" spans="1:4">
      <c r="A8" s="8"/>
      <c r="B8" s="12" t="s">
        <v>13</v>
      </c>
      <c r="C8" s="13" t="s">
        <v>6</v>
      </c>
      <c r="D8" s="14" t="s">
        <v>6</v>
      </c>
    </row>
    <row r="9" spans="1:4" ht="72.75">
      <c r="A9" s="8"/>
      <c r="B9" s="12" t="s">
        <v>14</v>
      </c>
      <c r="C9" s="13" t="s">
        <v>9</v>
      </c>
      <c r="D9" s="14" t="s">
        <v>6</v>
      </c>
    </row>
    <row r="10" spans="1:4" ht="87">
      <c r="A10" s="8"/>
      <c r="B10" s="12" t="s">
        <v>15</v>
      </c>
      <c r="C10" s="13" t="s">
        <v>6</v>
      </c>
      <c r="D10" s="14" t="s">
        <v>6</v>
      </c>
    </row>
    <row r="11" spans="1:4" ht="43.5">
      <c r="A11" s="8"/>
      <c r="B11" s="12" t="s">
        <v>16</v>
      </c>
      <c r="C11" s="13" t="s">
        <v>6</v>
      </c>
      <c r="D11" s="14" t="s">
        <v>6</v>
      </c>
    </row>
    <row r="12" spans="1:4" ht="72.75">
      <c r="A12" s="8"/>
      <c r="B12" s="12" t="s">
        <v>17</v>
      </c>
      <c r="C12" s="13" t="s">
        <v>6</v>
      </c>
      <c r="D12" s="14" t="s">
        <v>6</v>
      </c>
    </row>
    <row r="13" spans="1:4" ht="43.5">
      <c r="A13" s="8"/>
      <c r="B13" s="12" t="s">
        <v>18</v>
      </c>
      <c r="C13" s="13" t="s">
        <v>6</v>
      </c>
      <c r="D13" s="14" t="s">
        <v>6</v>
      </c>
    </row>
    <row r="14" spans="1:4" ht="43.5">
      <c r="A14" s="8"/>
      <c r="B14" s="12" t="s">
        <v>19</v>
      </c>
      <c r="C14" s="13" t="s">
        <v>6</v>
      </c>
      <c r="D14" s="14" t="s">
        <v>6</v>
      </c>
    </row>
    <row r="15" spans="1:4" ht="57.75">
      <c r="A15" s="8" t="s">
        <v>20</v>
      </c>
      <c r="B15" s="12" t="s">
        <v>21</v>
      </c>
      <c r="C15" s="13" t="s">
        <v>6</v>
      </c>
      <c r="D15" s="14" t="s">
        <v>6</v>
      </c>
    </row>
    <row r="16" spans="1:4" ht="57.75">
      <c r="A16" s="8"/>
      <c r="B16" s="12" t="s">
        <v>22</v>
      </c>
      <c r="C16" s="13" t="s">
        <v>6</v>
      </c>
      <c r="D16" s="14" t="s">
        <v>6</v>
      </c>
    </row>
    <row r="17" spans="1:4" ht="57.75">
      <c r="A17" s="8"/>
      <c r="B17" s="12" t="s">
        <v>23</v>
      </c>
      <c r="C17" s="13" t="s">
        <v>6</v>
      </c>
      <c r="D17" s="14" t="s">
        <v>6</v>
      </c>
    </row>
    <row r="18" spans="1:4" ht="43.5">
      <c r="A18" s="8"/>
      <c r="B18" s="12" t="s">
        <v>24</v>
      </c>
      <c r="C18" s="13" t="s">
        <v>6</v>
      </c>
      <c r="D18" s="14" t="s">
        <v>6</v>
      </c>
    </row>
    <row r="19" spans="1:4" ht="43.5">
      <c r="A19" s="8"/>
      <c r="B19" s="12" t="s">
        <v>25</v>
      </c>
      <c r="C19" s="13" t="s">
        <v>6</v>
      </c>
      <c r="D19" s="14" t="s">
        <v>6</v>
      </c>
    </row>
    <row r="20" spans="1:4" ht="43.5">
      <c r="A20" s="8"/>
      <c r="B20" s="12" t="s">
        <v>26</v>
      </c>
      <c r="C20" s="13" t="s">
        <v>9</v>
      </c>
      <c r="D20" s="14" t="s">
        <v>9</v>
      </c>
    </row>
    <row r="21" spans="1:4" ht="57.75">
      <c r="A21" s="8"/>
      <c r="B21" s="12" t="s">
        <v>27</v>
      </c>
      <c r="C21" s="13" t="s">
        <v>6</v>
      </c>
      <c r="D21" s="14" t="s">
        <v>6</v>
      </c>
    </row>
    <row r="22" spans="1:4" ht="43.5">
      <c r="A22" s="8"/>
      <c r="B22" s="12" t="s">
        <v>28</v>
      </c>
      <c r="C22" s="13" t="s">
        <v>6</v>
      </c>
      <c r="D22" s="14" t="s">
        <v>6</v>
      </c>
    </row>
    <row r="23" spans="1:4" ht="43.5">
      <c r="A23" s="8"/>
      <c r="B23" s="12" t="s">
        <v>29</v>
      </c>
      <c r="C23" s="13" t="s">
        <v>6</v>
      </c>
      <c r="D23" s="14" t="s">
        <v>6</v>
      </c>
    </row>
    <row r="24" spans="1:4" ht="29.25">
      <c r="A24" s="8"/>
      <c r="B24" s="12" t="s">
        <v>30</v>
      </c>
      <c r="C24" s="13" t="s">
        <v>6</v>
      </c>
      <c r="D24" s="14" t="s">
        <v>9</v>
      </c>
    </row>
    <row r="25" spans="1:4" ht="29.25">
      <c r="A25" s="7" t="s">
        <v>31</v>
      </c>
      <c r="B25" s="12" t="s">
        <v>32</v>
      </c>
      <c r="C25" s="13" t="s">
        <v>6</v>
      </c>
      <c r="D25" s="14" t="s">
        <v>6</v>
      </c>
    </row>
    <row r="26" spans="1:4" ht="29.25">
      <c r="A26" s="7"/>
      <c r="B26" s="12" t="s">
        <v>33</v>
      </c>
      <c r="C26" s="13" t="s">
        <v>6</v>
      </c>
      <c r="D26" s="14" t="s">
        <v>6</v>
      </c>
    </row>
    <row r="27" spans="1:4" ht="29.25">
      <c r="A27" s="7"/>
      <c r="B27" s="12" t="s">
        <v>34</v>
      </c>
      <c r="C27" s="13" t="s">
        <v>6</v>
      </c>
      <c r="D27" s="14" t="s">
        <v>6</v>
      </c>
    </row>
    <row r="28" spans="1:4" ht="72.75">
      <c r="A28" s="7"/>
      <c r="B28" s="12" t="s">
        <v>35</v>
      </c>
      <c r="C28" s="13" t="s">
        <v>6</v>
      </c>
      <c r="D28" s="14" t="s">
        <v>6</v>
      </c>
    </row>
    <row r="29" spans="1:4" ht="43.5">
      <c r="A29" s="7"/>
      <c r="B29" s="12" t="s">
        <v>36</v>
      </c>
      <c r="C29" s="13" t="s">
        <v>6</v>
      </c>
      <c r="D29" s="14" t="s">
        <v>6</v>
      </c>
    </row>
    <row r="30" spans="1:4" ht="29.25">
      <c r="A30" s="7"/>
      <c r="B30" s="12" t="s">
        <v>37</v>
      </c>
      <c r="C30" s="13" t="s">
        <v>6</v>
      </c>
      <c r="D30" s="14" t="s">
        <v>6</v>
      </c>
    </row>
    <row r="31" spans="1:4" ht="43.5">
      <c r="A31" s="7"/>
      <c r="B31" s="12" t="s">
        <v>38</v>
      </c>
      <c r="C31" s="13" t="s">
        <v>9</v>
      </c>
      <c r="D31" s="14" t="s">
        <v>6</v>
      </c>
    </row>
    <row r="32" spans="1:4" ht="29.25">
      <c r="A32" s="7"/>
      <c r="B32" s="12" t="s">
        <v>39</v>
      </c>
      <c r="C32" s="13" t="s">
        <v>6</v>
      </c>
      <c r="D32" s="14" t="s">
        <v>6</v>
      </c>
    </row>
    <row r="33" spans="1:4" ht="57.75">
      <c r="A33" s="7"/>
      <c r="B33" s="12" t="s">
        <v>40</v>
      </c>
      <c r="C33" s="13" t="s">
        <v>6</v>
      </c>
      <c r="D33" s="14" t="s">
        <v>6</v>
      </c>
    </row>
    <row r="34" spans="1:4" ht="57.75">
      <c r="A34" s="7"/>
      <c r="B34" s="12" t="s">
        <v>41</v>
      </c>
      <c r="C34" s="13" t="s">
        <v>6</v>
      </c>
      <c r="D34" s="14" t="s">
        <v>9</v>
      </c>
    </row>
    <row r="35" spans="1:4" ht="57.75">
      <c r="A35" s="7"/>
      <c r="B35" s="12" t="s">
        <v>42</v>
      </c>
      <c r="C35" s="13" t="s">
        <v>6</v>
      </c>
      <c r="D35" s="14" t="s">
        <v>6</v>
      </c>
    </row>
    <row r="36" spans="1:4" ht="57.75">
      <c r="A36" s="7"/>
      <c r="B36" s="12" t="s">
        <v>43</v>
      </c>
      <c r="C36" s="13" t="s">
        <v>6</v>
      </c>
      <c r="D36" s="14" t="s">
        <v>6</v>
      </c>
    </row>
    <row r="37" spans="1:4" ht="29.25">
      <c r="A37" s="7"/>
      <c r="B37" s="12" t="s">
        <v>44</v>
      </c>
      <c r="C37" s="13" t="s">
        <v>6</v>
      </c>
      <c r="D37" s="14" t="s">
        <v>6</v>
      </c>
    </row>
    <row r="38" spans="1:4" ht="43.5">
      <c r="A38" s="7"/>
      <c r="B38" s="12" t="s">
        <v>45</v>
      </c>
      <c r="C38" s="13" t="s">
        <v>6</v>
      </c>
      <c r="D38" s="14" t="s">
        <v>6</v>
      </c>
    </row>
    <row r="39" spans="1:4" ht="57.75">
      <c r="A39" s="7"/>
      <c r="B39" s="12" t="s">
        <v>46</v>
      </c>
      <c r="C39" s="13" t="s">
        <v>6</v>
      </c>
      <c r="D39" s="14" t="s">
        <v>6</v>
      </c>
    </row>
    <row r="40" spans="1:4" ht="29.25">
      <c r="A40" s="7"/>
      <c r="B40" s="12" t="s">
        <v>47</v>
      </c>
      <c r="C40" s="13" t="s">
        <v>6</v>
      </c>
      <c r="D40" s="14" t="s">
        <v>6</v>
      </c>
    </row>
    <row r="41" spans="1:4" ht="72.75">
      <c r="A41" s="7" t="s">
        <v>48</v>
      </c>
      <c r="B41" s="12" t="s">
        <v>49</v>
      </c>
      <c r="C41" s="13" t="s">
        <v>6</v>
      </c>
      <c r="D41" s="14" t="s">
        <v>6</v>
      </c>
    </row>
    <row r="42" spans="1:4" ht="43.5">
      <c r="A42" s="7"/>
      <c r="B42" s="12" t="s">
        <v>50</v>
      </c>
      <c r="C42" s="13" t="s">
        <v>6</v>
      </c>
      <c r="D42" s="14" t="s">
        <v>6</v>
      </c>
    </row>
    <row r="43" spans="1:4" ht="57.75">
      <c r="A43" s="7"/>
      <c r="B43" s="12" t="s">
        <v>51</v>
      </c>
      <c r="C43" s="13" t="s">
        <v>6</v>
      </c>
      <c r="D43" s="14" t="s">
        <v>6</v>
      </c>
    </row>
    <row r="44" spans="1:4" ht="72.75">
      <c r="A44" s="7"/>
      <c r="B44" s="12" t="s">
        <v>52</v>
      </c>
      <c r="C44" s="13" t="s">
        <v>6</v>
      </c>
      <c r="D44" s="14" t="s">
        <v>6</v>
      </c>
    </row>
    <row r="45" spans="1:4" ht="57.75">
      <c r="A45" s="7"/>
      <c r="B45" s="12" t="s">
        <v>53</v>
      </c>
      <c r="C45" s="13" t="s">
        <v>6</v>
      </c>
      <c r="D45" s="14" t="s">
        <v>6</v>
      </c>
    </row>
    <row r="46" spans="1:4" ht="43.5">
      <c r="A46" s="7"/>
      <c r="B46" s="12" t="s">
        <v>54</v>
      </c>
      <c r="C46" s="13" t="s">
        <v>6</v>
      </c>
      <c r="D46" s="14" t="s">
        <v>6</v>
      </c>
    </row>
    <row r="47" spans="1:4" ht="29.25">
      <c r="A47" s="7"/>
      <c r="B47" s="12" t="s">
        <v>55</v>
      </c>
      <c r="C47" s="13" t="s">
        <v>6</v>
      </c>
      <c r="D47" s="14" t="s">
        <v>9</v>
      </c>
    </row>
    <row r="48" spans="1:4" ht="43.5">
      <c r="A48" s="7"/>
      <c r="B48" s="12" t="s">
        <v>56</v>
      </c>
      <c r="C48" s="13" t="s">
        <v>9</v>
      </c>
      <c r="D48" s="14" t="s">
        <v>6</v>
      </c>
    </row>
    <row r="49" spans="1:4" ht="57.75">
      <c r="A49" s="7"/>
      <c r="B49" s="12" t="s">
        <v>57</v>
      </c>
      <c r="C49" s="13" t="s">
        <v>6</v>
      </c>
      <c r="D49" s="14" t="s">
        <v>6</v>
      </c>
    </row>
    <row r="50" spans="1:4" ht="72.75">
      <c r="A50" s="7"/>
      <c r="B50" s="12" t="s">
        <v>58</v>
      </c>
      <c r="C50" s="13" t="s">
        <v>6</v>
      </c>
      <c r="D50" s="14" t="s">
        <v>6</v>
      </c>
    </row>
    <row r="51" spans="1:4" ht="87">
      <c r="A51" s="7"/>
      <c r="B51" s="12" t="s">
        <v>59</v>
      </c>
      <c r="C51" s="13" t="s">
        <v>6</v>
      </c>
      <c r="D51" s="14" t="s">
        <v>6</v>
      </c>
    </row>
    <row r="52" spans="1:4" ht="43.5">
      <c r="A52" s="7" t="s">
        <v>60</v>
      </c>
      <c r="B52" s="12" t="s">
        <v>61</v>
      </c>
      <c r="C52" s="13" t="s">
        <v>6</v>
      </c>
      <c r="D52" s="14" t="s">
        <v>6</v>
      </c>
    </row>
    <row r="53" spans="1:4" ht="57.75">
      <c r="A53" s="7"/>
      <c r="B53" s="12" t="s">
        <v>62</v>
      </c>
      <c r="C53" s="13" t="s">
        <v>6</v>
      </c>
      <c r="D53" s="14" t="s">
        <v>6</v>
      </c>
    </row>
    <row r="54" spans="1:4" ht="43.5">
      <c r="A54" s="7"/>
      <c r="B54" s="12" t="s">
        <v>63</v>
      </c>
      <c r="C54" s="13" t="s">
        <v>9</v>
      </c>
      <c r="D54" s="14" t="s">
        <v>6</v>
      </c>
    </row>
    <row r="55" spans="1:4" ht="72.75">
      <c r="A55" s="7"/>
      <c r="B55" s="12" t="s">
        <v>64</v>
      </c>
      <c r="C55" s="13" t="s">
        <v>6</v>
      </c>
      <c r="D55" s="14" t="s">
        <v>6</v>
      </c>
    </row>
    <row r="56" spans="1:4" ht="72.75">
      <c r="A56" s="7"/>
      <c r="B56" s="12" t="s">
        <v>65</v>
      </c>
      <c r="C56" s="13" t="s">
        <v>6</v>
      </c>
      <c r="D56" s="14" t="s">
        <v>6</v>
      </c>
    </row>
    <row r="57" spans="1:4" ht="57.75">
      <c r="A57" s="7"/>
      <c r="B57" s="12" t="s">
        <v>66</v>
      </c>
      <c r="C57" s="13" t="s">
        <v>6</v>
      </c>
      <c r="D57" s="14" t="s">
        <v>6</v>
      </c>
    </row>
    <row r="58" spans="1:4" ht="43.5">
      <c r="A58" s="7"/>
      <c r="B58" s="12" t="s">
        <v>67</v>
      </c>
      <c r="C58" s="13" t="s">
        <v>6</v>
      </c>
      <c r="D58" s="14" t="s">
        <v>6</v>
      </c>
    </row>
    <row r="59" spans="1:4" ht="57.75">
      <c r="A59" s="7"/>
      <c r="B59" s="12" t="s">
        <v>68</v>
      </c>
      <c r="C59" s="13" t="s">
        <v>6</v>
      </c>
      <c r="D59" s="14" t="s">
        <v>6</v>
      </c>
    </row>
    <row r="60" spans="1:4" ht="29.25">
      <c r="A60" s="7"/>
      <c r="B60" s="12" t="s">
        <v>69</v>
      </c>
      <c r="C60" s="13" t="s">
        <v>9</v>
      </c>
      <c r="D60" s="14" t="s">
        <v>6</v>
      </c>
    </row>
    <row r="61" spans="1:4" ht="57.75">
      <c r="A61" s="7"/>
      <c r="B61" s="12" t="s">
        <v>70</v>
      </c>
      <c r="C61" s="13" t="s">
        <v>6</v>
      </c>
      <c r="D61" s="14" t="s">
        <v>6</v>
      </c>
    </row>
    <row r="62" spans="1:4" ht="43.5">
      <c r="A62" s="7"/>
      <c r="B62" s="12" t="s">
        <v>71</v>
      </c>
      <c r="C62" s="13" t="s">
        <v>6</v>
      </c>
      <c r="D62" s="14" t="s">
        <v>6</v>
      </c>
    </row>
    <row r="63" spans="1:4" ht="101.25">
      <c r="A63" s="7" t="s">
        <v>72</v>
      </c>
      <c r="B63" s="12" t="s">
        <v>73</v>
      </c>
      <c r="C63" s="13" t="s">
        <v>6</v>
      </c>
      <c r="D63" s="14" t="s">
        <v>6</v>
      </c>
    </row>
    <row r="64" spans="1:4" ht="72.75">
      <c r="A64" s="7"/>
      <c r="B64" s="12" t="s">
        <v>74</v>
      </c>
      <c r="C64" s="13" t="s">
        <v>6</v>
      </c>
      <c r="D64" s="14" t="s">
        <v>6</v>
      </c>
    </row>
    <row r="65" spans="1:4" ht="72.75">
      <c r="A65" s="7"/>
      <c r="B65" s="12" t="s">
        <v>75</v>
      </c>
      <c r="C65" s="13" t="s">
        <v>6</v>
      </c>
      <c r="D65" s="14" t="s">
        <v>6</v>
      </c>
    </row>
    <row r="66" spans="1:4" ht="57.75">
      <c r="A66" s="7"/>
      <c r="B66" s="12" t="s">
        <v>76</v>
      </c>
      <c r="C66" s="13" t="s">
        <v>6</v>
      </c>
      <c r="D66" s="14" t="s">
        <v>6</v>
      </c>
    </row>
    <row r="67" spans="1:4" ht="72.75">
      <c r="A67" s="7"/>
      <c r="B67" s="12" t="s">
        <v>77</v>
      </c>
      <c r="C67" s="13" t="s">
        <v>6</v>
      </c>
      <c r="D67" s="14" t="s">
        <v>6</v>
      </c>
    </row>
    <row r="68" spans="1:4" ht="57.75">
      <c r="A68" s="7"/>
      <c r="B68" s="12" t="s">
        <v>78</v>
      </c>
      <c r="C68" s="13" t="s">
        <v>6</v>
      </c>
      <c r="D68" s="14" t="s">
        <v>6</v>
      </c>
    </row>
    <row r="69" spans="1:4" ht="115.5">
      <c r="A69" s="7"/>
      <c r="B69" s="12" t="s">
        <v>79</v>
      </c>
      <c r="C69" s="13" t="s">
        <v>6</v>
      </c>
      <c r="D69" s="14" t="s">
        <v>6</v>
      </c>
    </row>
    <row r="70" spans="1:4" ht="57.75">
      <c r="A70" s="7"/>
      <c r="B70" s="12" t="s">
        <v>80</v>
      </c>
      <c r="C70" s="13" t="s">
        <v>6</v>
      </c>
      <c r="D70" s="14" t="s">
        <v>6</v>
      </c>
    </row>
    <row r="71" spans="1:4" ht="57.75">
      <c r="A71" s="7"/>
      <c r="B71" s="12" t="s">
        <v>81</v>
      </c>
      <c r="C71" s="13" t="s">
        <v>9</v>
      </c>
      <c r="D71" s="14" t="s">
        <v>6</v>
      </c>
    </row>
    <row r="72" spans="1:4" ht="87">
      <c r="A72" s="7"/>
      <c r="B72" s="12" t="s">
        <v>82</v>
      </c>
      <c r="C72" s="13" t="s">
        <v>6</v>
      </c>
      <c r="D72" s="14" t="s">
        <v>6</v>
      </c>
    </row>
    <row r="73" spans="1:4" ht="29.25">
      <c r="A73" s="7"/>
      <c r="B73" s="12" t="s">
        <v>83</v>
      </c>
      <c r="C73" s="13" t="s">
        <v>6</v>
      </c>
      <c r="D73" s="14" t="s">
        <v>6</v>
      </c>
    </row>
    <row r="74" spans="1:4" ht="29.25">
      <c r="A74" s="7"/>
      <c r="B74" s="12" t="s">
        <v>84</v>
      </c>
      <c r="C74" s="13" t="s">
        <v>9</v>
      </c>
      <c r="D74" s="14" t="s">
        <v>6</v>
      </c>
    </row>
    <row r="75" spans="1:4" ht="43.5">
      <c r="A75" s="7"/>
      <c r="B75" s="12" t="s">
        <v>85</v>
      </c>
      <c r="C75" s="13" t="s">
        <v>6</v>
      </c>
      <c r="D75" s="14" t="s">
        <v>6</v>
      </c>
    </row>
    <row r="76" spans="1:4" ht="72.75">
      <c r="A76" s="7"/>
      <c r="B76" s="12" t="s">
        <v>86</v>
      </c>
      <c r="C76" s="13" t="s">
        <v>6</v>
      </c>
      <c r="D76" s="14" t="s">
        <v>6</v>
      </c>
    </row>
    <row r="77" spans="1:4" ht="57.75">
      <c r="A77" s="7"/>
      <c r="B77" s="12" t="s">
        <v>87</v>
      </c>
      <c r="C77" s="13" t="s">
        <v>9</v>
      </c>
      <c r="D77" s="14" t="s">
        <v>9</v>
      </c>
    </row>
    <row r="78" spans="1:4" ht="87">
      <c r="A78" s="7"/>
      <c r="B78" s="12" t="s">
        <v>88</v>
      </c>
      <c r="C78" s="13" t="s">
        <v>6</v>
      </c>
      <c r="D78" s="14" t="s">
        <v>6</v>
      </c>
    </row>
    <row r="79" spans="1:4" ht="72.75">
      <c r="A79" s="7"/>
      <c r="B79" s="12" t="s">
        <v>89</v>
      </c>
      <c r="C79" s="13" t="s">
        <v>6</v>
      </c>
      <c r="D79" s="14" t="s">
        <v>6</v>
      </c>
    </row>
    <row r="80" spans="1:4" ht="43.5">
      <c r="A80" s="7" t="s">
        <v>90</v>
      </c>
      <c r="B80" s="12" t="s">
        <v>91</v>
      </c>
      <c r="C80" s="13" t="s">
        <v>6</v>
      </c>
      <c r="D80" s="14" t="s">
        <v>6</v>
      </c>
    </row>
    <row r="81" spans="1:4" ht="43.5">
      <c r="A81" s="7"/>
      <c r="B81" s="12" t="s">
        <v>92</v>
      </c>
      <c r="C81" s="13" t="s">
        <v>6</v>
      </c>
      <c r="D81" s="14" t="s">
        <v>6</v>
      </c>
    </row>
    <row r="82" spans="1:4" ht="57.75">
      <c r="A82" s="7"/>
      <c r="B82" s="12" t="s">
        <v>93</v>
      </c>
      <c r="C82" s="13" t="s">
        <v>6</v>
      </c>
      <c r="D82" s="14" t="s">
        <v>6</v>
      </c>
    </row>
    <row r="83" spans="1:4" ht="57.75">
      <c r="A83" s="7"/>
      <c r="B83" s="12" t="s">
        <v>94</v>
      </c>
      <c r="C83" s="13" t="s">
        <v>6</v>
      </c>
      <c r="D83" s="14" t="s">
        <v>6</v>
      </c>
    </row>
    <row r="84" spans="1:4" ht="43.5">
      <c r="A84" s="7"/>
      <c r="B84" s="12" t="s">
        <v>95</v>
      </c>
      <c r="C84" s="13" t="s">
        <v>6</v>
      </c>
      <c r="D84" s="14" t="s">
        <v>6</v>
      </c>
    </row>
    <row r="85" spans="1:4" ht="43.5">
      <c r="A85" s="7"/>
      <c r="B85" s="12" t="s">
        <v>96</v>
      </c>
      <c r="C85" s="13" t="s">
        <v>9</v>
      </c>
      <c r="D85" s="14" t="s">
        <v>6</v>
      </c>
    </row>
    <row r="86" spans="1:4" ht="43.5">
      <c r="A86" s="7"/>
      <c r="B86" s="12" t="s">
        <v>97</v>
      </c>
      <c r="C86" s="13" t="s">
        <v>9</v>
      </c>
      <c r="D86" s="14" t="s">
        <v>9</v>
      </c>
    </row>
    <row r="87" spans="1:4" ht="43.5">
      <c r="A87" s="7" t="s">
        <v>98</v>
      </c>
      <c r="B87" s="12" t="s">
        <v>99</v>
      </c>
      <c r="C87" s="13" t="s">
        <v>6</v>
      </c>
      <c r="D87" s="14" t="s">
        <v>6</v>
      </c>
    </row>
    <row r="88" spans="1:4" ht="72.75">
      <c r="A88" s="7"/>
      <c r="B88" s="12" t="s">
        <v>100</v>
      </c>
      <c r="C88" s="13" t="s">
        <v>6</v>
      </c>
      <c r="D88" s="14" t="s">
        <v>6</v>
      </c>
    </row>
    <row r="89" spans="1:4" ht="72.75">
      <c r="A89" s="7"/>
      <c r="B89" s="12" t="s">
        <v>101</v>
      </c>
      <c r="C89" s="13" t="s">
        <v>6</v>
      </c>
      <c r="D89" s="14" t="s">
        <v>6</v>
      </c>
    </row>
    <row r="90" spans="1:4" ht="57.75">
      <c r="A90" s="7"/>
      <c r="B90" s="12" t="s">
        <v>102</v>
      </c>
      <c r="C90" s="13" t="s">
        <v>6</v>
      </c>
      <c r="D90" s="14" t="s">
        <v>6</v>
      </c>
    </row>
    <row r="91" spans="1:4" ht="87">
      <c r="A91" s="7"/>
      <c r="B91" s="12" t="s">
        <v>103</v>
      </c>
      <c r="C91" s="13" t="s">
        <v>6</v>
      </c>
      <c r="D91" s="14" t="s">
        <v>6</v>
      </c>
    </row>
    <row r="92" spans="1:4" ht="57.75">
      <c r="A92" s="7"/>
      <c r="B92" s="12" t="s">
        <v>104</v>
      </c>
      <c r="C92" s="13" t="s">
        <v>6</v>
      </c>
      <c r="D92" s="14" t="s">
        <v>6</v>
      </c>
    </row>
    <row r="93" spans="1:4" ht="29.25">
      <c r="A93" s="7"/>
      <c r="B93" s="12" t="s">
        <v>105</v>
      </c>
      <c r="C93" s="13" t="s">
        <v>6</v>
      </c>
      <c r="D93" s="14" t="s">
        <v>6</v>
      </c>
    </row>
    <row r="94" spans="1:4" ht="72.75">
      <c r="A94" s="7"/>
      <c r="B94" s="12" t="s">
        <v>106</v>
      </c>
      <c r="C94" s="13" t="s">
        <v>6</v>
      </c>
      <c r="D94" s="14" t="s">
        <v>9</v>
      </c>
    </row>
    <row r="95" spans="1:4" ht="57.75">
      <c r="A95" s="7"/>
      <c r="B95" s="12" t="s">
        <v>107</v>
      </c>
      <c r="C95" s="13" t="s">
        <v>6</v>
      </c>
      <c r="D95" s="14" t="s">
        <v>6</v>
      </c>
    </row>
    <row r="96" spans="1:4" ht="43.5">
      <c r="A96" s="7"/>
      <c r="B96" s="12" t="s">
        <v>108</v>
      </c>
      <c r="C96" s="13" t="s">
        <v>9</v>
      </c>
      <c r="D96" s="14" t="s">
        <v>9</v>
      </c>
    </row>
    <row r="97" spans="1:4" ht="57.75">
      <c r="A97" s="7"/>
      <c r="B97" s="12" t="s">
        <v>109</v>
      </c>
      <c r="C97" s="13" t="s">
        <v>9</v>
      </c>
      <c r="D97" s="14" t="s">
        <v>9</v>
      </c>
    </row>
    <row r="98" spans="1:4" ht="72.75">
      <c r="A98" s="7"/>
      <c r="B98" s="12" t="s">
        <v>110</v>
      </c>
      <c r="C98" s="13" t="s">
        <v>6</v>
      </c>
      <c r="D98" s="14" t="s">
        <v>9</v>
      </c>
    </row>
    <row r="99" spans="1:4" ht="115.5">
      <c r="A99" s="7" t="s">
        <v>111</v>
      </c>
      <c r="B99" s="12" t="s">
        <v>112</v>
      </c>
      <c r="C99" s="13" t="s">
        <v>6</v>
      </c>
      <c r="D99" s="14" t="s">
        <v>6</v>
      </c>
    </row>
    <row r="100" spans="1:4" ht="43.5">
      <c r="A100" s="7"/>
      <c r="B100" s="12" t="s">
        <v>113</v>
      </c>
      <c r="C100" s="13" t="s">
        <v>6</v>
      </c>
      <c r="D100" s="14" t="s">
        <v>9</v>
      </c>
    </row>
    <row r="101" spans="1:4" ht="57.75">
      <c r="A101" s="7"/>
      <c r="B101" s="12" t="s">
        <v>114</v>
      </c>
      <c r="C101" s="13" t="s">
        <v>6</v>
      </c>
      <c r="D101" s="14" t="s">
        <v>6</v>
      </c>
    </row>
    <row r="102" spans="1:4" ht="72.75">
      <c r="A102" s="7"/>
      <c r="B102" s="12" t="s">
        <v>115</v>
      </c>
      <c r="C102" s="13" t="s">
        <v>6</v>
      </c>
      <c r="D102" s="14" t="s">
        <v>6</v>
      </c>
    </row>
    <row r="103" spans="1:4" ht="57.75">
      <c r="A103" s="7"/>
      <c r="B103" s="12" t="s">
        <v>116</v>
      </c>
      <c r="C103" s="13" t="s">
        <v>6</v>
      </c>
      <c r="D103" s="14" t="s">
        <v>9</v>
      </c>
    </row>
    <row r="104" spans="1:4" ht="57.75">
      <c r="A104" s="7"/>
      <c r="B104" s="12" t="s">
        <v>117</v>
      </c>
      <c r="C104" s="13" t="s">
        <v>9</v>
      </c>
      <c r="D104" s="14" t="s">
        <v>6</v>
      </c>
    </row>
    <row r="105" spans="1:4" ht="87">
      <c r="A105" s="7"/>
      <c r="B105" s="12" t="s">
        <v>118</v>
      </c>
      <c r="C105" s="13" t="s">
        <v>6</v>
      </c>
      <c r="D105" s="14" t="s">
        <v>6</v>
      </c>
    </row>
    <row r="106" spans="1:4" ht="101.25">
      <c r="A106" s="7" t="s">
        <v>119</v>
      </c>
      <c r="B106" s="12" t="s">
        <v>120</v>
      </c>
      <c r="C106" s="13" t="s">
        <v>6</v>
      </c>
      <c r="D106" s="14" t="s">
        <v>9</v>
      </c>
    </row>
    <row r="107" spans="1:4" ht="57.75">
      <c r="A107" s="7"/>
      <c r="B107" s="12" t="s">
        <v>121</v>
      </c>
      <c r="C107" s="13" t="s">
        <v>6</v>
      </c>
      <c r="D107" s="14" t="s">
        <v>9</v>
      </c>
    </row>
    <row r="108" spans="1:4" ht="57.75">
      <c r="A108" s="7"/>
      <c r="B108" s="12" t="s">
        <v>122</v>
      </c>
      <c r="C108" s="13" t="s">
        <v>6</v>
      </c>
      <c r="D108" s="14" t="s">
        <v>6</v>
      </c>
    </row>
    <row r="109" spans="1:4" ht="87">
      <c r="A109" s="7"/>
      <c r="B109" s="12" t="s">
        <v>123</v>
      </c>
      <c r="C109" s="13" t="s">
        <v>9</v>
      </c>
      <c r="D109" s="14" t="s">
        <v>6</v>
      </c>
    </row>
    <row r="110" spans="1:4" ht="43.5">
      <c r="A110" s="7"/>
      <c r="B110" s="12" t="s">
        <v>124</v>
      </c>
      <c r="C110" s="13" t="s">
        <v>9</v>
      </c>
      <c r="D110" s="14" t="s">
        <v>9</v>
      </c>
    </row>
    <row r="111" spans="1:4" ht="57.75">
      <c r="A111" s="7"/>
      <c r="B111" s="12" t="s">
        <v>125</v>
      </c>
      <c r="C111" s="13" t="s">
        <v>9</v>
      </c>
      <c r="D111" s="14" t="s">
        <v>6</v>
      </c>
    </row>
    <row r="112" spans="1:4" ht="72.75">
      <c r="A112" s="7"/>
      <c r="B112" s="12" t="s">
        <v>126</v>
      </c>
      <c r="C112" s="13" t="s">
        <v>9</v>
      </c>
      <c r="D112" s="14" t="s">
        <v>6</v>
      </c>
    </row>
    <row r="113" spans="1:4" ht="57.75">
      <c r="A113" s="7" t="s">
        <v>127</v>
      </c>
      <c r="B113" s="12" t="s">
        <v>128</v>
      </c>
      <c r="C113" s="13" t="s">
        <v>6</v>
      </c>
      <c r="D113" s="14" t="s">
        <v>6</v>
      </c>
    </row>
    <row r="114" spans="1:4" ht="72.75">
      <c r="A114" s="7"/>
      <c r="B114" s="12" t="s">
        <v>129</v>
      </c>
      <c r="C114" s="13" t="s">
        <v>6</v>
      </c>
      <c r="D114" s="14" t="s">
        <v>6</v>
      </c>
    </row>
    <row r="115" spans="1:4" ht="72.75">
      <c r="A115" s="7"/>
      <c r="B115" s="12" t="s">
        <v>130</v>
      </c>
      <c r="C115" s="13" t="s">
        <v>6</v>
      </c>
      <c r="D115" s="14" t="s">
        <v>6</v>
      </c>
    </row>
    <row r="116" spans="1:4" ht="57.75">
      <c r="A116" s="7"/>
      <c r="B116" s="12" t="s">
        <v>131</v>
      </c>
      <c r="C116" s="13" t="s">
        <v>9</v>
      </c>
      <c r="D116" s="14" t="s">
        <v>9</v>
      </c>
    </row>
    <row r="117" spans="1:4" ht="29.25">
      <c r="A117" s="7"/>
      <c r="B117" s="12" t="s">
        <v>132</v>
      </c>
      <c r="C117" s="13" t="s">
        <v>6</v>
      </c>
      <c r="D117" s="14" t="s">
        <v>6</v>
      </c>
    </row>
    <row r="118" spans="1:4" ht="43.5">
      <c r="A118" s="7"/>
      <c r="B118" s="12" t="s">
        <v>133</v>
      </c>
      <c r="C118" s="13" t="s">
        <v>6</v>
      </c>
      <c r="D118" s="14" t="s">
        <v>9</v>
      </c>
    </row>
    <row r="119" spans="1:4" ht="72.75">
      <c r="A119" s="7"/>
      <c r="B119" s="12" t="s">
        <v>134</v>
      </c>
      <c r="C119" s="13" t="s">
        <v>6</v>
      </c>
      <c r="D119" s="14" t="s">
        <v>9</v>
      </c>
    </row>
    <row r="120" spans="1:4" ht="72.75">
      <c r="A120" s="7"/>
      <c r="B120" s="12" t="s">
        <v>135</v>
      </c>
      <c r="C120" s="13" t="s">
        <v>9</v>
      </c>
      <c r="D120" s="14" t="s">
        <v>9</v>
      </c>
    </row>
    <row r="121" spans="1:4" ht="57.75">
      <c r="A121" s="7" t="s">
        <v>136</v>
      </c>
      <c r="B121" s="12" t="s">
        <v>137</v>
      </c>
      <c r="C121" s="13" t="s">
        <v>6</v>
      </c>
      <c r="D121" s="14" t="s">
        <v>6</v>
      </c>
    </row>
    <row r="122" spans="1:4" ht="43.5">
      <c r="A122" s="7"/>
      <c r="B122" s="12" t="s">
        <v>138</v>
      </c>
      <c r="C122" s="13" t="s">
        <v>6</v>
      </c>
      <c r="D122" s="14" t="s">
        <v>6</v>
      </c>
    </row>
    <row r="123" spans="1:4" ht="43.5">
      <c r="A123" s="7"/>
      <c r="B123" s="12" t="s">
        <v>139</v>
      </c>
      <c r="C123" s="13" t="s">
        <v>6</v>
      </c>
      <c r="D123" s="14" t="s">
        <v>6</v>
      </c>
    </row>
    <row r="124" spans="1:4" ht="87">
      <c r="A124" s="7"/>
      <c r="B124" s="12" t="s">
        <v>140</v>
      </c>
      <c r="C124" s="13" t="s">
        <v>6</v>
      </c>
      <c r="D124" s="14" t="s">
        <v>6</v>
      </c>
    </row>
    <row r="125" spans="1:4" ht="57.75">
      <c r="A125" s="7"/>
      <c r="B125" s="12" t="s">
        <v>141</v>
      </c>
      <c r="C125" s="13" t="s">
        <v>6</v>
      </c>
      <c r="D125" s="14" t="s">
        <v>6</v>
      </c>
    </row>
    <row r="126" spans="1:4" ht="57.75">
      <c r="A126" s="7"/>
      <c r="B126" s="12" t="s">
        <v>142</v>
      </c>
      <c r="C126" s="13" t="s">
        <v>6</v>
      </c>
      <c r="D126" s="14" t="s">
        <v>6</v>
      </c>
    </row>
    <row r="127" spans="1:4" ht="57.75">
      <c r="A127" s="7"/>
      <c r="B127" s="12" t="s">
        <v>143</v>
      </c>
      <c r="C127" s="13" t="s">
        <v>6</v>
      </c>
      <c r="D127" s="14" t="s">
        <v>6</v>
      </c>
    </row>
    <row r="128" spans="1:4" ht="57.75">
      <c r="A128" s="7"/>
      <c r="B128" s="12" t="s">
        <v>144</v>
      </c>
      <c r="C128" s="13" t="s">
        <v>6</v>
      </c>
      <c r="D128" s="14" t="s">
        <v>6</v>
      </c>
    </row>
    <row r="129" spans="1:4" ht="72.75">
      <c r="A129" s="7"/>
      <c r="B129" s="12" t="s">
        <v>145</v>
      </c>
      <c r="C129" s="13" t="s">
        <v>6</v>
      </c>
      <c r="D129" s="14" t="s">
        <v>6</v>
      </c>
    </row>
    <row r="130" spans="1:4" ht="43.5">
      <c r="A130" s="7"/>
      <c r="B130" s="12" t="s">
        <v>146</v>
      </c>
      <c r="C130" s="13" t="s">
        <v>9</v>
      </c>
      <c r="D130" s="14" t="s">
        <v>9</v>
      </c>
    </row>
    <row r="131" spans="1:4" ht="57.75">
      <c r="A131" s="7"/>
      <c r="B131" s="12" t="s">
        <v>147</v>
      </c>
      <c r="C131" s="13" t="s">
        <v>6</v>
      </c>
      <c r="D131" s="14" t="s">
        <v>6</v>
      </c>
    </row>
    <row r="132" spans="1:4" ht="29.25">
      <c r="A132" s="7"/>
      <c r="B132" s="12" t="s">
        <v>148</v>
      </c>
      <c r="C132" s="13" t="s">
        <v>9</v>
      </c>
      <c r="D132" s="14" t="s">
        <v>9</v>
      </c>
    </row>
    <row r="133" spans="1:4" ht="87">
      <c r="A133" s="7"/>
      <c r="B133" s="12" t="s">
        <v>149</v>
      </c>
      <c r="C133" s="13" t="s">
        <v>6</v>
      </c>
      <c r="D133" s="14" t="s">
        <v>6</v>
      </c>
    </row>
    <row r="134" spans="1:4" ht="87">
      <c r="A134" s="7"/>
      <c r="B134" s="12" t="s">
        <v>150</v>
      </c>
      <c r="C134" s="13" t="s">
        <v>6</v>
      </c>
      <c r="D134" s="14" t="s">
        <v>9</v>
      </c>
    </row>
    <row r="135" spans="1:4" ht="57.75">
      <c r="A135" s="7"/>
      <c r="B135" s="12" t="s">
        <v>151</v>
      </c>
      <c r="C135" s="13" t="s">
        <v>6</v>
      </c>
      <c r="D135" s="14" t="s">
        <v>6</v>
      </c>
    </row>
    <row r="136" spans="1:4" ht="43.5">
      <c r="A136" s="7"/>
      <c r="B136" s="12" t="s">
        <v>152</v>
      </c>
      <c r="C136" s="13" t="s">
        <v>9</v>
      </c>
      <c r="D136" s="14" t="s">
        <v>9</v>
      </c>
    </row>
    <row r="137" spans="1:4" ht="87">
      <c r="A137" s="7" t="s">
        <v>153</v>
      </c>
      <c r="B137" s="12" t="s">
        <v>154</v>
      </c>
      <c r="C137" s="13" t="s">
        <v>6</v>
      </c>
      <c r="D137" s="14" t="s">
        <v>6</v>
      </c>
    </row>
    <row r="138" spans="1:4" ht="57.75">
      <c r="A138" s="7"/>
      <c r="B138" s="12" t="s">
        <v>155</v>
      </c>
      <c r="C138" s="13" t="s">
        <v>6</v>
      </c>
      <c r="D138" s="14" t="s">
        <v>6</v>
      </c>
    </row>
    <row r="139" spans="1:4" ht="57.75">
      <c r="A139" s="7"/>
      <c r="B139" s="12" t="s">
        <v>156</v>
      </c>
      <c r="C139" s="13" t="s">
        <v>6</v>
      </c>
      <c r="D139" s="14" t="s">
        <v>6</v>
      </c>
    </row>
    <row r="140" spans="1:4" ht="57.75">
      <c r="A140" s="7"/>
      <c r="B140" s="12" t="s">
        <v>157</v>
      </c>
      <c r="C140" s="13" t="s">
        <v>6</v>
      </c>
      <c r="D140" s="14" t="s">
        <v>6</v>
      </c>
    </row>
    <row r="141" spans="1:4" ht="43.5">
      <c r="A141" s="7"/>
      <c r="B141" s="12" t="s">
        <v>158</v>
      </c>
      <c r="C141" s="13" t="s">
        <v>6</v>
      </c>
      <c r="D141" s="14" t="s">
        <v>6</v>
      </c>
    </row>
    <row r="142" spans="1:4" ht="57.75">
      <c r="A142" s="7" t="s">
        <v>159</v>
      </c>
      <c r="B142" s="12" t="s">
        <v>160</v>
      </c>
      <c r="C142" s="13" t="s">
        <v>6</v>
      </c>
      <c r="D142" s="14" t="s">
        <v>6</v>
      </c>
    </row>
    <row r="143" spans="1:4" ht="72.75">
      <c r="A143" s="7"/>
      <c r="B143" s="12" t="s">
        <v>161</v>
      </c>
      <c r="C143" s="13" t="s">
        <v>6</v>
      </c>
      <c r="D143" s="14" t="s">
        <v>9</v>
      </c>
    </row>
    <row r="144" spans="1:4" ht="29.25">
      <c r="A144" s="7"/>
      <c r="B144" s="12" t="s">
        <v>162</v>
      </c>
      <c r="C144" s="13" t="s">
        <v>6</v>
      </c>
      <c r="D144" s="14" t="s">
        <v>6</v>
      </c>
    </row>
    <row r="145" spans="1:4" ht="72.75">
      <c r="A145" s="7"/>
      <c r="B145" s="12" t="s">
        <v>163</v>
      </c>
      <c r="C145" s="13" t="s">
        <v>6</v>
      </c>
      <c r="D145" s="14" t="s">
        <v>6</v>
      </c>
    </row>
    <row r="146" spans="1:4" ht="57.75">
      <c r="A146" s="7"/>
      <c r="B146" s="12" t="s">
        <v>164</v>
      </c>
      <c r="C146" s="13" t="s">
        <v>6</v>
      </c>
      <c r="D146" s="14" t="s">
        <v>6</v>
      </c>
    </row>
    <row r="147" spans="1:4" ht="57.75">
      <c r="A147" s="7"/>
      <c r="B147" s="12" t="s">
        <v>165</v>
      </c>
      <c r="C147" s="13" t="s">
        <v>6</v>
      </c>
      <c r="D147" s="14" t="s">
        <v>6</v>
      </c>
    </row>
    <row r="148" spans="1:4" ht="72.75">
      <c r="A148" s="7"/>
      <c r="B148" s="12" t="s">
        <v>166</v>
      </c>
      <c r="C148" s="13" t="s">
        <v>9</v>
      </c>
      <c r="D148" s="14" t="s">
        <v>9</v>
      </c>
    </row>
    <row r="149" spans="1:4" ht="72.75">
      <c r="A149" s="7"/>
      <c r="B149" s="12" t="s">
        <v>167</v>
      </c>
      <c r="C149" s="13" t="s">
        <v>6</v>
      </c>
      <c r="D149" s="14" t="s">
        <v>6</v>
      </c>
    </row>
    <row r="150" spans="1:4" ht="72.75">
      <c r="A150" s="8" t="s">
        <v>168</v>
      </c>
      <c r="B150" s="12" t="s">
        <v>169</v>
      </c>
      <c r="C150" s="13" t="s">
        <v>6</v>
      </c>
      <c r="D150" s="14" t="s">
        <v>6</v>
      </c>
    </row>
    <row r="151" spans="1:4" ht="43.5">
      <c r="A151" s="8"/>
      <c r="B151" s="12" t="s">
        <v>170</v>
      </c>
      <c r="C151" s="13" t="s">
        <v>9</v>
      </c>
      <c r="D151" s="14" t="s">
        <v>6</v>
      </c>
    </row>
    <row r="152" spans="1:4" ht="57.75">
      <c r="A152" s="8"/>
      <c r="B152" s="12" t="s">
        <v>171</v>
      </c>
      <c r="C152" s="13" t="s">
        <v>9</v>
      </c>
      <c r="D152" s="14" t="s">
        <v>6</v>
      </c>
    </row>
    <row r="153" spans="1:4" ht="72.75">
      <c r="A153" s="8"/>
      <c r="B153" s="12" t="s">
        <v>172</v>
      </c>
      <c r="C153" s="13" t="s">
        <v>6</v>
      </c>
      <c r="D153" s="14" t="s">
        <v>6</v>
      </c>
    </row>
    <row r="154" spans="1:4" ht="87">
      <c r="A154" s="8"/>
      <c r="B154" s="12" t="s">
        <v>173</v>
      </c>
      <c r="C154" s="13" t="s">
        <v>6</v>
      </c>
      <c r="D154" s="14" t="s">
        <v>6</v>
      </c>
    </row>
    <row r="155" spans="1:4" ht="87">
      <c r="A155" s="7" t="s">
        <v>174</v>
      </c>
      <c r="B155" s="12" t="s">
        <v>175</v>
      </c>
      <c r="C155" s="13" t="s">
        <v>6</v>
      </c>
      <c r="D155" s="14" t="s">
        <v>9</v>
      </c>
    </row>
    <row r="156" spans="1:4" ht="87">
      <c r="A156" s="7"/>
      <c r="B156" s="12" t="s">
        <v>176</v>
      </c>
      <c r="C156" s="13" t="s">
        <v>6</v>
      </c>
      <c r="D156" s="14" t="s">
        <v>6</v>
      </c>
    </row>
    <row r="157" spans="1:4" ht="57.75">
      <c r="A157" s="7"/>
      <c r="B157" s="12" t="s">
        <v>177</v>
      </c>
      <c r="C157" s="13" t="s">
        <v>6</v>
      </c>
      <c r="D157" s="14" t="s">
        <v>9</v>
      </c>
    </row>
    <row r="158" spans="1:4" ht="57.75">
      <c r="A158" s="7"/>
      <c r="B158" s="12" t="s">
        <v>178</v>
      </c>
      <c r="C158" s="13" t="s">
        <v>9</v>
      </c>
      <c r="D158" s="14" t="s">
        <v>9</v>
      </c>
    </row>
    <row r="159" spans="1:4" ht="57.75">
      <c r="A159" s="7"/>
      <c r="B159" s="12" t="s">
        <v>179</v>
      </c>
      <c r="C159" s="13" t="s">
        <v>6</v>
      </c>
      <c r="D159" s="14" t="s">
        <v>9</v>
      </c>
    </row>
    <row r="160" spans="1:4" ht="72.75">
      <c r="A160" s="7" t="s">
        <v>180</v>
      </c>
      <c r="B160" s="12" t="s">
        <v>181</v>
      </c>
      <c r="C160" s="13" t="s">
        <v>6</v>
      </c>
      <c r="D160" s="14" t="s">
        <v>9</v>
      </c>
    </row>
    <row r="161" spans="1:4" ht="72.75">
      <c r="A161" s="7"/>
      <c r="B161" s="12" t="s">
        <v>182</v>
      </c>
      <c r="C161" s="13" t="s">
        <v>6</v>
      </c>
      <c r="D161" s="14" t="s">
        <v>9</v>
      </c>
    </row>
    <row r="162" spans="1:4" ht="57.75">
      <c r="A162" s="7"/>
      <c r="B162" s="12" t="s">
        <v>183</v>
      </c>
      <c r="C162" s="13" t="s">
        <v>6</v>
      </c>
      <c r="D162" s="14" t="s">
        <v>6</v>
      </c>
    </row>
    <row r="163" spans="1:4" ht="57.75">
      <c r="A163" s="7"/>
      <c r="B163" s="12" t="s">
        <v>184</v>
      </c>
      <c r="C163" s="13" t="s">
        <v>6</v>
      </c>
      <c r="D163" s="14" t="s">
        <v>9</v>
      </c>
    </row>
    <row r="164" spans="1:4" ht="43.5">
      <c r="A164" s="7"/>
      <c r="B164" s="12" t="s">
        <v>185</v>
      </c>
      <c r="C164" s="13" t="s">
        <v>6</v>
      </c>
      <c r="D164" s="14" t="s">
        <v>6</v>
      </c>
    </row>
    <row r="165" spans="1:4">
      <c r="B165" s="15" t="s">
        <v>186</v>
      </c>
    </row>
    <row r="166" spans="1:4">
      <c r="A166" s="16"/>
      <c r="D166">
        <f>COUNTIFS(C:C, "Yes", D:D, "Yes")</f>
        <v>113</v>
      </c>
    </row>
    <row r="167" spans="1:4">
      <c r="B167" t="s">
        <v>187</v>
      </c>
      <c r="D167">
        <f>COUNTIFS(C:C, "Yes", D:D, "No")</f>
        <v>20</v>
      </c>
    </row>
    <row r="168" spans="1:4">
      <c r="B168" t="s">
        <v>188</v>
      </c>
      <c r="D168">
        <f>COUNTIFS(C:C, "No", D:D, "Yes")</f>
        <v>16</v>
      </c>
    </row>
    <row r="169" spans="1:4">
      <c r="B169" t="s">
        <v>189</v>
      </c>
      <c r="D169">
        <f>COUNTIFS(C:C, "No", D:D, "No")</f>
        <v>14</v>
      </c>
    </row>
    <row r="171" spans="1:4">
      <c r="B171" t="s">
        <v>190</v>
      </c>
      <c r="D171" s="17">
        <f>D166/B175 * 100</f>
        <v>84.962406015037601</v>
      </c>
    </row>
    <row r="172" spans="1:4">
      <c r="B172" t="s">
        <v>191</v>
      </c>
      <c r="D172" s="17">
        <f>D168/B176 * 100</f>
        <v>53.333333333333336</v>
      </c>
    </row>
    <row r="175" spans="1:4">
      <c r="A175" t="s">
        <v>192</v>
      </c>
      <c r="B175">
        <f>COUNTIFS(C:C, "Yes")</f>
        <v>133</v>
      </c>
    </row>
    <row r="176" spans="1:4">
      <c r="A176" t="s">
        <v>193</v>
      </c>
      <c r="B176">
        <f>COUNTIFS(C:C, "No")</f>
        <v>30</v>
      </c>
    </row>
  </sheetData>
  <mergeCells count="17">
    <mergeCell ref="A137:A141"/>
    <mergeCell ref="A142:A149"/>
    <mergeCell ref="A150:A154"/>
    <mergeCell ref="A155:A159"/>
    <mergeCell ref="A160:A164"/>
    <mergeCell ref="A80:A86"/>
    <mergeCell ref="A87:A98"/>
    <mergeCell ref="A99:A105"/>
    <mergeCell ref="A106:A112"/>
    <mergeCell ref="A113:A120"/>
    <mergeCell ref="A121:A136"/>
    <mergeCell ref="A2:A14"/>
    <mergeCell ref="A15:A24"/>
    <mergeCell ref="A25:A40"/>
    <mergeCell ref="A41:A51"/>
    <mergeCell ref="A52:A62"/>
    <mergeCell ref="A63:A79"/>
  </mergeCells>
  <conditionalFormatting sqref="D2:D173">
    <cfRule type="containsText" dxfId="7" priority="1" operator="containsText" text="No">
      <formula>NOT(ISERROR(SEARCH("No",D2)))</formula>
    </cfRule>
    <cfRule type="containsText" dxfId="6" priority="2" operator="containsText" text="Yes">
      <formula>NOT(ISERROR(SEARCH("Yes",D2)))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6"/>
  <sheetViews>
    <sheetView tabSelected="1" zoomScale="76" zoomScaleNormal="76" workbookViewId="0">
      <pane xSplit="1" topLeftCell="B1" activePane="topRight" state="frozen"/>
      <selection pane="topRight" activeCell="B3" sqref="B3"/>
    </sheetView>
  </sheetViews>
  <sheetFormatPr defaultColWidth="8.85546875" defaultRowHeight="15"/>
  <cols>
    <col min="1" max="1" width="30.140625" style="18" customWidth="1"/>
    <col min="2" max="2" width="57.7109375" customWidth="1"/>
    <col min="3" max="3" width="20.42578125" customWidth="1"/>
    <col min="4" max="5" width="25.140625" customWidth="1"/>
    <col min="6" max="6" width="91.140625" customWidth="1"/>
    <col min="7" max="9" width="48" customWidth="1"/>
    <col min="10" max="10" width="48.42578125" customWidth="1"/>
  </cols>
  <sheetData>
    <row r="1" spans="1:10">
      <c r="A1" s="19" t="s">
        <v>194</v>
      </c>
      <c r="B1" s="20" t="s">
        <v>195</v>
      </c>
      <c r="C1" s="20" t="s">
        <v>196</v>
      </c>
      <c r="D1" s="20" t="s">
        <v>197</v>
      </c>
      <c r="E1" s="20"/>
      <c r="F1" s="20" t="s">
        <v>198</v>
      </c>
      <c r="G1" s="20" t="s">
        <v>199</v>
      </c>
      <c r="H1" s="20" t="s">
        <v>200</v>
      </c>
      <c r="I1" s="20" t="s">
        <v>201</v>
      </c>
      <c r="J1" s="20" t="s">
        <v>202</v>
      </c>
    </row>
    <row r="2" spans="1:10">
      <c r="A2" s="21" t="s">
        <v>203</v>
      </c>
      <c r="B2" s="22" t="s">
        <v>204</v>
      </c>
      <c r="C2" s="23">
        <v>76700</v>
      </c>
      <c r="D2" s="22" t="s">
        <v>205</v>
      </c>
      <c r="E2" s="24">
        <f>C2/27</f>
        <v>2840.7407407407409</v>
      </c>
      <c r="F2" s="22" t="s">
        <v>206</v>
      </c>
      <c r="G2" s="22"/>
      <c r="H2" s="22" t="s">
        <v>207</v>
      </c>
      <c r="I2" s="25" t="s">
        <v>208</v>
      </c>
      <c r="J2" s="22"/>
    </row>
    <row r="1048562" ht="12.75"/>
    <row r="1048563" ht="12.75"/>
    <row r="1048564" ht="12.75"/>
    <row r="1048565" ht="12.75"/>
    <row r="1048566" ht="12.75"/>
    <row r="1048567" ht="12.75"/>
    <row r="1048568" ht="12.75"/>
    <row r="1048569" ht="12.75"/>
    <row r="1048570" ht="12.75"/>
    <row r="1048571" ht="12.75"/>
    <row r="1048572" ht="12.75"/>
    <row r="1048573" ht="12.75"/>
    <row r="1048574" ht="12.75"/>
    <row r="1048575" ht="12.75"/>
    <row r="1048576" ht="12.75"/>
  </sheetData>
  <hyperlinks>
    <hyperlink ref="I2" r:id="rId1" xr:uid="{00000000-0004-0000-0100-000000000000}"/>
  </hyperlinks>
  <pageMargins left="0.7" right="0.7" top="0.75" bottom="0.75" header="0.511811023622047" footer="0.511811023622047"/>
  <pageSetup orientation="portrait" horizontalDpi="300" verticalDpi="30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topLeftCell="B20" zoomScaleNormal="100" workbookViewId="0">
      <selection activeCell="K25" sqref="K25"/>
    </sheetView>
  </sheetViews>
  <sheetFormatPr defaultColWidth="8.85546875" defaultRowHeight="14.25"/>
  <cols>
    <col min="1" max="2" width="36.42578125" customWidth="1"/>
    <col min="5" max="5" width="30.42578125" customWidth="1"/>
    <col min="6" max="6" width="63.28515625" customWidth="1"/>
    <col min="10" max="10" width="30" customWidth="1"/>
    <col min="11" max="11" width="49" customWidth="1"/>
  </cols>
  <sheetData>
    <row r="1" spans="1:11" ht="18" customHeight="1">
      <c r="A1" s="6" t="s">
        <v>209</v>
      </c>
      <c r="B1" s="6"/>
      <c r="E1" s="5" t="s">
        <v>210</v>
      </c>
      <c r="F1" s="5"/>
      <c r="J1" s="5" t="s">
        <v>211</v>
      </c>
      <c r="K1" s="5"/>
    </row>
    <row r="2" spans="1:11">
      <c r="A2" s="26" t="s">
        <v>0</v>
      </c>
      <c r="B2" s="27" t="s">
        <v>1</v>
      </c>
      <c r="E2" s="26" t="s">
        <v>0</v>
      </c>
      <c r="F2" s="27" t="s">
        <v>1</v>
      </c>
      <c r="J2" s="26" t="s">
        <v>0</v>
      </c>
      <c r="K2" s="27" t="s">
        <v>1</v>
      </c>
    </row>
    <row r="3" spans="1:11">
      <c r="A3" s="28" t="s">
        <v>212</v>
      </c>
      <c r="B3" s="14" t="s">
        <v>213</v>
      </c>
      <c r="E3" s="28" t="s">
        <v>212</v>
      </c>
      <c r="F3" s="14" t="s">
        <v>214</v>
      </c>
      <c r="J3" s="28" t="s">
        <v>215</v>
      </c>
      <c r="K3" s="14" t="s">
        <v>216</v>
      </c>
    </row>
    <row r="4" spans="1:11" ht="28.5">
      <c r="A4" s="28" t="s">
        <v>212</v>
      </c>
      <c r="B4" s="14" t="s">
        <v>217</v>
      </c>
      <c r="E4" s="28" t="s">
        <v>212</v>
      </c>
      <c r="F4" s="14" t="s">
        <v>218</v>
      </c>
      <c r="J4" s="28" t="s">
        <v>215</v>
      </c>
      <c r="K4" s="14" t="s">
        <v>219</v>
      </c>
    </row>
    <row r="5" spans="1:11">
      <c r="A5" s="28" t="s">
        <v>215</v>
      </c>
      <c r="B5" s="14" t="s">
        <v>220</v>
      </c>
      <c r="E5" s="28" t="s">
        <v>212</v>
      </c>
      <c r="F5" s="14" t="s">
        <v>221</v>
      </c>
      <c r="J5" s="28" t="s">
        <v>215</v>
      </c>
      <c r="K5" s="14" t="s">
        <v>222</v>
      </c>
    </row>
    <row r="6" spans="1:11">
      <c r="A6" s="28" t="s">
        <v>215</v>
      </c>
      <c r="B6" s="14" t="s">
        <v>223</v>
      </c>
      <c r="E6" s="28" t="s">
        <v>212</v>
      </c>
      <c r="F6" s="14" t="s">
        <v>224</v>
      </c>
      <c r="J6" s="28" t="s">
        <v>215</v>
      </c>
      <c r="K6" s="14" t="s">
        <v>225</v>
      </c>
    </row>
    <row r="7" spans="1:11">
      <c r="A7" s="28" t="s">
        <v>226</v>
      </c>
      <c r="B7" s="14" t="s">
        <v>227</v>
      </c>
      <c r="E7" s="28" t="s">
        <v>212</v>
      </c>
      <c r="F7" s="14" t="s">
        <v>213</v>
      </c>
      <c r="J7" s="28" t="s">
        <v>228</v>
      </c>
      <c r="K7" s="14" t="s">
        <v>229</v>
      </c>
    </row>
    <row r="8" spans="1:11">
      <c r="A8" s="28" t="s">
        <v>226</v>
      </c>
      <c r="B8" s="14" t="s">
        <v>230</v>
      </c>
      <c r="E8" s="28" t="s">
        <v>212</v>
      </c>
      <c r="F8" s="14" t="s">
        <v>217</v>
      </c>
      <c r="J8" s="28" t="s">
        <v>228</v>
      </c>
      <c r="K8" s="14" t="s">
        <v>231</v>
      </c>
    </row>
    <row r="9" spans="1:11">
      <c r="A9" s="28" t="s">
        <v>226</v>
      </c>
      <c r="B9" s="14" t="s">
        <v>232</v>
      </c>
      <c r="E9" s="28" t="s">
        <v>212</v>
      </c>
      <c r="F9" s="14" t="s">
        <v>233</v>
      </c>
      <c r="J9" s="28" t="s">
        <v>228</v>
      </c>
      <c r="K9" s="14" t="s">
        <v>234</v>
      </c>
    </row>
    <row r="10" spans="1:11">
      <c r="A10" s="28" t="s">
        <v>228</v>
      </c>
      <c r="B10" s="14" t="s">
        <v>235</v>
      </c>
      <c r="E10" s="28" t="s">
        <v>215</v>
      </c>
      <c r="F10" s="14" t="s">
        <v>220</v>
      </c>
      <c r="J10" s="28" t="s">
        <v>228</v>
      </c>
      <c r="K10" s="14" t="s">
        <v>236</v>
      </c>
    </row>
    <row r="11" spans="1:11">
      <c r="A11" s="28" t="s">
        <v>237</v>
      </c>
      <c r="B11" s="14" t="s">
        <v>238</v>
      </c>
      <c r="E11" s="28" t="s">
        <v>215</v>
      </c>
      <c r="F11" s="14" t="s">
        <v>223</v>
      </c>
      <c r="J11" s="28" t="s">
        <v>237</v>
      </c>
      <c r="K11" s="14" t="s">
        <v>239</v>
      </c>
    </row>
    <row r="12" spans="1:11" ht="28.5">
      <c r="A12" s="28" t="s">
        <v>240</v>
      </c>
      <c r="B12" s="14" t="s">
        <v>241</v>
      </c>
      <c r="E12" s="28" t="s">
        <v>215</v>
      </c>
      <c r="F12" s="14" t="s">
        <v>242</v>
      </c>
      <c r="J12" s="28" t="s">
        <v>237</v>
      </c>
      <c r="K12" s="14" t="s">
        <v>243</v>
      </c>
    </row>
    <row r="13" spans="1:11">
      <c r="E13" s="28" t="s">
        <v>226</v>
      </c>
      <c r="F13" s="14" t="s">
        <v>244</v>
      </c>
      <c r="J13" s="28" t="s">
        <v>237</v>
      </c>
      <c r="K13" s="14" t="s">
        <v>245</v>
      </c>
    </row>
    <row r="14" spans="1:11">
      <c r="E14" s="28" t="s">
        <v>226</v>
      </c>
      <c r="F14" s="14" t="s">
        <v>246</v>
      </c>
      <c r="J14" s="28" t="s">
        <v>247</v>
      </c>
      <c r="K14" s="14" t="s">
        <v>248</v>
      </c>
    </row>
    <row r="15" spans="1:11">
      <c r="E15" s="28" t="s">
        <v>226</v>
      </c>
      <c r="F15" s="14" t="s">
        <v>227</v>
      </c>
      <c r="J15" s="28" t="s">
        <v>247</v>
      </c>
      <c r="K15" s="14" t="s">
        <v>249</v>
      </c>
    </row>
    <row r="16" spans="1:11">
      <c r="E16" s="28" t="s">
        <v>226</v>
      </c>
      <c r="F16" s="14" t="s">
        <v>230</v>
      </c>
      <c r="J16" s="28" t="s">
        <v>250</v>
      </c>
      <c r="K16" s="14" t="s">
        <v>251</v>
      </c>
    </row>
    <row r="17" spans="1:11" ht="18">
      <c r="A17" s="6" t="s">
        <v>252</v>
      </c>
      <c r="B17" s="6"/>
      <c r="E17" s="28" t="s">
        <v>226</v>
      </c>
      <c r="F17" s="14" t="s">
        <v>253</v>
      </c>
      <c r="J17" s="28" t="s">
        <v>250</v>
      </c>
      <c r="K17" s="14" t="s">
        <v>254</v>
      </c>
    </row>
    <row r="18" spans="1:11" ht="28.5">
      <c r="A18" s="26" t="s">
        <v>0</v>
      </c>
      <c r="B18" s="27" t="s">
        <v>1</v>
      </c>
      <c r="E18" s="28" t="s">
        <v>226</v>
      </c>
      <c r="F18" s="14" t="s">
        <v>232</v>
      </c>
      <c r="J18" s="28" t="s">
        <v>250</v>
      </c>
      <c r="K18" s="14" t="s">
        <v>255</v>
      </c>
    </row>
    <row r="19" spans="1:11">
      <c r="A19" s="28" t="s">
        <v>228</v>
      </c>
      <c r="B19" s="14" t="s">
        <v>229</v>
      </c>
      <c r="E19" s="28" t="s">
        <v>228</v>
      </c>
      <c r="F19" s="14" t="s">
        <v>256</v>
      </c>
      <c r="J19" s="28" t="s">
        <v>250</v>
      </c>
      <c r="K19" s="14" t="s">
        <v>257</v>
      </c>
    </row>
    <row r="20" spans="1:11" ht="28.5">
      <c r="A20" s="28" t="s">
        <v>228</v>
      </c>
      <c r="B20" s="14" t="s">
        <v>231</v>
      </c>
      <c r="E20" s="28" t="s">
        <v>228</v>
      </c>
      <c r="F20" s="14" t="s">
        <v>258</v>
      </c>
      <c r="J20" s="28" t="s">
        <v>259</v>
      </c>
      <c r="K20" s="14" t="s">
        <v>260</v>
      </c>
    </row>
    <row r="21" spans="1:11" ht="28.5">
      <c r="A21" s="28" t="s">
        <v>237</v>
      </c>
      <c r="B21" s="14" t="s">
        <v>239</v>
      </c>
      <c r="E21" s="28" t="s">
        <v>228</v>
      </c>
      <c r="F21" s="14" t="s">
        <v>235</v>
      </c>
      <c r="J21" s="28" t="s">
        <v>240</v>
      </c>
      <c r="K21" s="14" t="s">
        <v>261</v>
      </c>
    </row>
    <row r="22" spans="1:11">
      <c r="A22" s="28" t="s">
        <v>237</v>
      </c>
      <c r="B22" s="14" t="s">
        <v>245</v>
      </c>
      <c r="E22" s="28" t="s">
        <v>228</v>
      </c>
      <c r="F22" s="14" t="s">
        <v>262</v>
      </c>
      <c r="J22" s="28" t="s">
        <v>240</v>
      </c>
      <c r="K22" s="14" t="s">
        <v>263</v>
      </c>
    </row>
    <row r="23" spans="1:11">
      <c r="E23" s="28" t="s">
        <v>237</v>
      </c>
      <c r="F23" s="14" t="s">
        <v>238</v>
      </c>
    </row>
    <row r="24" spans="1:11">
      <c r="E24" s="28" t="s">
        <v>240</v>
      </c>
      <c r="F24" s="14" t="s">
        <v>264</v>
      </c>
    </row>
    <row r="25" spans="1:11">
      <c r="A25" s="16"/>
      <c r="E25" s="28" t="s">
        <v>240</v>
      </c>
      <c r="F25" s="14" t="s">
        <v>265</v>
      </c>
    </row>
    <row r="26" spans="1:11" ht="28.5">
      <c r="E26" s="28" t="s">
        <v>240</v>
      </c>
      <c r="F26" s="14" t="s">
        <v>266</v>
      </c>
    </row>
    <row r="27" spans="1:11">
      <c r="E27" s="28" t="s">
        <v>240</v>
      </c>
      <c r="F27" s="14" t="s">
        <v>241</v>
      </c>
    </row>
  </sheetData>
  <mergeCells count="4">
    <mergeCell ref="A1:B1"/>
    <mergeCell ref="E1:F1"/>
    <mergeCell ref="J1:K1"/>
    <mergeCell ref="A17:B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6"/>
  <sheetViews>
    <sheetView topLeftCell="A19" zoomScaleNormal="100" workbookViewId="0">
      <selection activeCell="A2" sqref="A2"/>
    </sheetView>
  </sheetViews>
  <sheetFormatPr defaultColWidth="8.85546875" defaultRowHeight="14.25"/>
  <cols>
    <col min="1" max="1" width="36.42578125" customWidth="1"/>
    <col min="2" max="2" width="25.42578125" customWidth="1"/>
    <col min="3" max="3" width="21.140625" customWidth="1"/>
    <col min="4" max="4" width="26.42578125" customWidth="1"/>
    <col min="9" max="9" width="1.42578125" customWidth="1"/>
    <col min="10" max="10" width="52.28515625" customWidth="1"/>
    <col min="14" max="14" width="32.42578125" customWidth="1"/>
  </cols>
  <sheetData>
    <row r="1" spans="1:15">
      <c r="A1" s="29" t="s">
        <v>267</v>
      </c>
      <c r="B1" s="29" t="s">
        <v>268</v>
      </c>
      <c r="C1" s="29" t="s">
        <v>269</v>
      </c>
      <c r="D1" s="29" t="s">
        <v>270</v>
      </c>
      <c r="J1" s="30" t="s">
        <v>271</v>
      </c>
      <c r="K1" s="29" t="s">
        <v>2</v>
      </c>
    </row>
    <row r="2" spans="1:15">
      <c r="A2" s="28" t="s">
        <v>272</v>
      </c>
      <c r="B2" s="31">
        <v>1684</v>
      </c>
      <c r="C2" s="31" t="s">
        <v>6</v>
      </c>
      <c r="D2" s="31" t="s">
        <v>6</v>
      </c>
      <c r="J2" s="14" t="s">
        <v>239</v>
      </c>
      <c r="K2" s="28" t="s">
        <v>6</v>
      </c>
      <c r="N2" s="15"/>
      <c r="O2" s="15"/>
    </row>
    <row r="3" spans="1:15">
      <c r="A3" s="28" t="s">
        <v>273</v>
      </c>
      <c r="B3" s="31">
        <v>1566</v>
      </c>
      <c r="C3" s="31" t="s">
        <v>6</v>
      </c>
      <c r="D3" s="31" t="s">
        <v>6</v>
      </c>
      <c r="J3" s="14" t="s">
        <v>244</v>
      </c>
      <c r="K3" s="28" t="s">
        <v>6</v>
      </c>
      <c r="N3" s="15"/>
      <c r="O3" s="15"/>
    </row>
    <row r="4" spans="1:15">
      <c r="A4" s="28" t="s">
        <v>274</v>
      </c>
      <c r="B4" s="31">
        <v>1441</v>
      </c>
      <c r="C4" s="31" t="s">
        <v>9</v>
      </c>
      <c r="D4" s="31" t="s">
        <v>275</v>
      </c>
      <c r="J4" s="14" t="s">
        <v>220</v>
      </c>
      <c r="K4" s="28" t="s">
        <v>6</v>
      </c>
      <c r="N4" s="15"/>
      <c r="O4" s="15"/>
    </row>
    <row r="5" spans="1:15">
      <c r="A5" s="28" t="s">
        <v>276</v>
      </c>
      <c r="B5" s="31">
        <v>1186</v>
      </c>
      <c r="C5" s="31" t="s">
        <v>6</v>
      </c>
      <c r="D5" s="31" t="s">
        <v>6</v>
      </c>
      <c r="J5" s="14" t="s">
        <v>229</v>
      </c>
      <c r="K5" s="28" t="s">
        <v>6</v>
      </c>
      <c r="N5" s="15"/>
      <c r="O5" s="15"/>
    </row>
    <row r="6" spans="1:15">
      <c r="A6" s="28" t="s">
        <v>277</v>
      </c>
      <c r="B6" s="31">
        <v>1170</v>
      </c>
      <c r="C6" s="31" t="s">
        <v>9</v>
      </c>
      <c r="D6" s="31" t="s">
        <v>275</v>
      </c>
      <c r="J6" s="14" t="s">
        <v>246</v>
      </c>
      <c r="K6" s="28" t="s">
        <v>6</v>
      </c>
      <c r="N6" s="15"/>
      <c r="O6" s="15"/>
    </row>
    <row r="7" spans="1:15">
      <c r="A7" s="28" t="s">
        <v>278</v>
      </c>
      <c r="B7" s="31">
        <v>1144</v>
      </c>
      <c r="C7" s="31" t="s">
        <v>9</v>
      </c>
      <c r="D7" s="31" t="s">
        <v>9</v>
      </c>
      <c r="J7" s="14" t="s">
        <v>227</v>
      </c>
      <c r="K7" s="28" t="s">
        <v>6</v>
      </c>
      <c r="N7" s="15"/>
      <c r="O7" s="15"/>
    </row>
    <row r="8" spans="1:15">
      <c r="A8" s="28" t="s">
        <v>279</v>
      </c>
      <c r="B8" s="31">
        <v>783</v>
      </c>
      <c r="C8" s="31" t="s">
        <v>6</v>
      </c>
      <c r="D8" s="31" t="s">
        <v>6</v>
      </c>
      <c r="J8" s="14" t="s">
        <v>214</v>
      </c>
      <c r="K8" s="28" t="s">
        <v>6</v>
      </c>
      <c r="N8" s="15"/>
      <c r="O8" s="15"/>
    </row>
    <row r="9" spans="1:15">
      <c r="A9" s="28" t="s">
        <v>280</v>
      </c>
      <c r="B9" s="31">
        <v>775</v>
      </c>
      <c r="C9" s="31" t="s">
        <v>9</v>
      </c>
      <c r="D9" s="31" t="s">
        <v>275</v>
      </c>
      <c r="J9" s="14" t="s">
        <v>281</v>
      </c>
      <c r="K9" s="28" t="s">
        <v>6</v>
      </c>
      <c r="N9" s="15"/>
      <c r="O9" s="15"/>
    </row>
    <row r="10" spans="1:15">
      <c r="A10" s="28" t="s">
        <v>282</v>
      </c>
      <c r="B10" s="31">
        <v>768</v>
      </c>
      <c r="C10" s="31" t="s">
        <v>9</v>
      </c>
      <c r="D10" s="31" t="s">
        <v>275</v>
      </c>
      <c r="J10" s="14" t="s">
        <v>283</v>
      </c>
      <c r="K10" s="28" t="s">
        <v>6</v>
      </c>
      <c r="N10" s="15"/>
      <c r="O10" s="15"/>
    </row>
    <row r="11" spans="1:15">
      <c r="A11" s="28" t="s">
        <v>284</v>
      </c>
      <c r="B11" s="31">
        <v>758</v>
      </c>
      <c r="C11" s="31" t="s">
        <v>9</v>
      </c>
      <c r="D11" s="31" t="s">
        <v>275</v>
      </c>
      <c r="J11" s="14" t="s">
        <v>230</v>
      </c>
      <c r="K11" s="28" t="s">
        <v>6</v>
      </c>
      <c r="N11" s="15"/>
      <c r="O11" s="15"/>
    </row>
    <row r="12" spans="1:15" ht="28.5">
      <c r="A12" s="28" t="s">
        <v>285</v>
      </c>
      <c r="B12" s="31">
        <v>666</v>
      </c>
      <c r="C12" s="31" t="s">
        <v>6</v>
      </c>
      <c r="D12" s="31" t="s">
        <v>9</v>
      </c>
      <c r="J12" s="14" t="s">
        <v>286</v>
      </c>
      <c r="K12" s="28" t="s">
        <v>6</v>
      </c>
      <c r="N12" s="15"/>
      <c r="O12" s="15"/>
    </row>
    <row r="13" spans="1:15">
      <c r="A13" s="28" t="s">
        <v>287</v>
      </c>
      <c r="B13" s="31">
        <v>663</v>
      </c>
      <c r="C13" s="31" t="s">
        <v>6</v>
      </c>
      <c r="D13" s="31" t="s">
        <v>6</v>
      </c>
      <c r="J13" s="14" t="s">
        <v>218</v>
      </c>
      <c r="K13" s="28" t="s">
        <v>6</v>
      </c>
      <c r="N13" s="15"/>
      <c r="O13" s="15"/>
    </row>
    <row r="14" spans="1:15">
      <c r="A14" s="28" t="s">
        <v>288</v>
      </c>
      <c r="B14" s="31">
        <v>534</v>
      </c>
      <c r="C14" s="31" t="s">
        <v>9</v>
      </c>
      <c r="D14" s="31" t="s">
        <v>275</v>
      </c>
      <c r="J14" s="14" t="s">
        <v>253</v>
      </c>
      <c r="K14" s="28" t="s">
        <v>6</v>
      </c>
      <c r="N14" s="15"/>
      <c r="O14" s="15"/>
    </row>
    <row r="15" spans="1:15">
      <c r="A15" s="28" t="s">
        <v>289</v>
      </c>
      <c r="B15" s="31">
        <v>521</v>
      </c>
      <c r="C15" s="31" t="s">
        <v>6</v>
      </c>
      <c r="D15" s="31" t="s">
        <v>6</v>
      </c>
      <c r="J15" s="14" t="s">
        <v>290</v>
      </c>
      <c r="K15" s="28" t="s">
        <v>6</v>
      </c>
      <c r="N15" s="15"/>
      <c r="O15" s="15"/>
    </row>
    <row r="16" spans="1:15">
      <c r="A16" s="28" t="s">
        <v>291</v>
      </c>
      <c r="B16" s="31">
        <v>502</v>
      </c>
      <c r="C16" s="31" t="s">
        <v>6</v>
      </c>
      <c r="D16" s="31" t="s">
        <v>6</v>
      </c>
      <c r="J16" s="14" t="s">
        <v>292</v>
      </c>
      <c r="K16" s="28" t="s">
        <v>6</v>
      </c>
      <c r="N16" s="15"/>
      <c r="O16" s="15"/>
    </row>
    <row r="17" spans="1:15">
      <c r="A17" s="28" t="s">
        <v>293</v>
      </c>
      <c r="B17" s="31">
        <v>501</v>
      </c>
      <c r="C17" s="31" t="s">
        <v>6</v>
      </c>
      <c r="D17" s="31" t="s">
        <v>6</v>
      </c>
      <c r="J17" s="14" t="s">
        <v>294</v>
      </c>
      <c r="K17" s="28" t="s">
        <v>6</v>
      </c>
      <c r="N17" s="15"/>
      <c r="O17" s="15"/>
    </row>
    <row r="18" spans="1:15">
      <c r="A18" s="28" t="s">
        <v>295</v>
      </c>
      <c r="B18" s="31">
        <v>494</v>
      </c>
      <c r="C18" s="31" t="s">
        <v>6</v>
      </c>
      <c r="D18" s="31" t="s">
        <v>6</v>
      </c>
      <c r="J18" s="14" t="s">
        <v>256</v>
      </c>
      <c r="K18" s="28" t="s">
        <v>6</v>
      </c>
      <c r="N18" s="15"/>
      <c r="O18" s="15"/>
    </row>
    <row r="19" spans="1:15">
      <c r="A19" s="28" t="s">
        <v>296</v>
      </c>
      <c r="B19" s="31">
        <v>411</v>
      </c>
      <c r="C19" s="31" t="s">
        <v>6</v>
      </c>
      <c r="D19" s="31" t="s">
        <v>6</v>
      </c>
      <c r="J19" s="14" t="s">
        <v>224</v>
      </c>
      <c r="K19" s="28" t="s">
        <v>6</v>
      </c>
      <c r="N19" s="15"/>
      <c r="O19" s="15"/>
    </row>
    <row r="20" spans="1:15">
      <c r="A20" s="28" t="s">
        <v>297</v>
      </c>
      <c r="B20" s="31">
        <v>407</v>
      </c>
      <c r="C20" s="31" t="s">
        <v>6</v>
      </c>
      <c r="D20" s="31" t="s">
        <v>6</v>
      </c>
      <c r="J20" s="14" t="s">
        <v>231</v>
      </c>
      <c r="K20" s="28" t="s">
        <v>6</v>
      </c>
      <c r="N20" s="15"/>
      <c r="O20" s="15"/>
    </row>
    <row r="21" spans="1:15">
      <c r="A21" s="28" t="s">
        <v>298</v>
      </c>
      <c r="B21" s="31">
        <v>405</v>
      </c>
      <c r="C21" s="31" t="s">
        <v>6</v>
      </c>
      <c r="D21" s="31" t="s">
        <v>6</v>
      </c>
      <c r="J21" s="14" t="s">
        <v>223</v>
      </c>
      <c r="K21" s="28" t="s">
        <v>6</v>
      </c>
      <c r="N21" s="15"/>
      <c r="O21" s="15"/>
    </row>
    <row r="22" spans="1:15">
      <c r="A22" s="28" t="s">
        <v>299</v>
      </c>
      <c r="B22" s="31">
        <v>396</v>
      </c>
      <c r="C22" s="31" t="s">
        <v>6</v>
      </c>
      <c r="D22" s="31" t="s">
        <v>6</v>
      </c>
      <c r="J22" s="14" t="s">
        <v>300</v>
      </c>
      <c r="K22" s="28" t="s">
        <v>6</v>
      </c>
      <c r="N22" s="15"/>
      <c r="O22" s="15"/>
    </row>
    <row r="23" spans="1:15">
      <c r="A23" s="28" t="s">
        <v>301</v>
      </c>
      <c r="B23" s="31">
        <v>388</v>
      </c>
      <c r="C23" s="31" t="s">
        <v>6</v>
      </c>
      <c r="D23" s="31" t="s">
        <v>9</v>
      </c>
      <c r="J23" s="14" t="s">
        <v>302</v>
      </c>
      <c r="K23" s="28" t="s">
        <v>6</v>
      </c>
      <c r="N23" s="15"/>
      <c r="O23" s="15"/>
    </row>
    <row r="24" spans="1:15">
      <c r="A24" s="28" t="s">
        <v>303</v>
      </c>
      <c r="B24" s="31">
        <v>384</v>
      </c>
      <c r="C24" s="31" t="s">
        <v>6</v>
      </c>
      <c r="D24" s="31" t="s">
        <v>6</v>
      </c>
      <c r="J24" s="14" t="s">
        <v>232</v>
      </c>
      <c r="K24" s="28" t="s">
        <v>6</v>
      </c>
      <c r="N24" s="15"/>
      <c r="O24" s="15"/>
    </row>
    <row r="25" spans="1:15">
      <c r="A25" s="28" t="s">
        <v>304</v>
      </c>
      <c r="B25" s="31">
        <v>377</v>
      </c>
      <c r="C25" s="31" t="s">
        <v>9</v>
      </c>
      <c r="D25" s="31" t="s">
        <v>275</v>
      </c>
      <c r="J25" s="14" t="s">
        <v>235</v>
      </c>
      <c r="K25" s="28" t="s">
        <v>6</v>
      </c>
      <c r="N25" s="15"/>
      <c r="O25" s="15"/>
    </row>
    <row r="26" spans="1:15">
      <c r="A26" s="28" t="s">
        <v>305</v>
      </c>
      <c r="B26" s="31">
        <v>376</v>
      </c>
      <c r="C26" s="31" t="s">
        <v>9</v>
      </c>
      <c r="D26" s="31" t="s">
        <v>275</v>
      </c>
      <c r="J26" s="14" t="s">
        <v>242</v>
      </c>
      <c r="K26" s="28" t="s">
        <v>6</v>
      </c>
      <c r="N26" s="15"/>
      <c r="O26" s="15"/>
    </row>
    <row r="27" spans="1:15">
      <c r="A27" s="28" t="s">
        <v>306</v>
      </c>
      <c r="B27" s="31">
        <v>376</v>
      </c>
      <c r="C27" s="31" t="s">
        <v>9</v>
      </c>
      <c r="D27" s="31" t="s">
        <v>275</v>
      </c>
      <c r="J27" s="14" t="s">
        <v>213</v>
      </c>
      <c r="K27" s="28" t="s">
        <v>6</v>
      </c>
      <c r="N27" s="15"/>
      <c r="O27" s="15"/>
    </row>
    <row r="28" spans="1:15">
      <c r="A28" s="28" t="s">
        <v>307</v>
      </c>
      <c r="B28" s="31">
        <v>375</v>
      </c>
      <c r="C28" s="31" t="s">
        <v>9</v>
      </c>
      <c r="D28" s="31" t="s">
        <v>275</v>
      </c>
      <c r="J28" s="14" t="s">
        <v>241</v>
      </c>
      <c r="K28" s="28" t="s">
        <v>6</v>
      </c>
      <c r="N28" s="15"/>
      <c r="O28" s="15"/>
    </row>
    <row r="29" spans="1:15">
      <c r="A29" s="28" t="s">
        <v>308</v>
      </c>
      <c r="B29" s="31">
        <v>375</v>
      </c>
      <c r="C29" s="31" t="s">
        <v>6</v>
      </c>
      <c r="D29" s="31" t="s">
        <v>6</v>
      </c>
      <c r="J29" s="14" t="s">
        <v>238</v>
      </c>
      <c r="K29" s="28" t="s">
        <v>6</v>
      </c>
      <c r="N29" s="15"/>
      <c r="O29" s="15"/>
    </row>
    <row r="30" spans="1:15">
      <c r="A30" s="28" t="s">
        <v>309</v>
      </c>
      <c r="B30" s="31">
        <v>368</v>
      </c>
      <c r="C30" s="31" t="s">
        <v>9</v>
      </c>
      <c r="D30" s="31" t="s">
        <v>275</v>
      </c>
      <c r="J30" s="14" t="s">
        <v>310</v>
      </c>
      <c r="K30" s="28" t="s">
        <v>6</v>
      </c>
      <c r="N30" s="15"/>
      <c r="O30" s="15"/>
    </row>
    <row r="31" spans="1:15">
      <c r="A31" s="28" t="s">
        <v>311</v>
      </c>
      <c r="B31" s="31">
        <v>308</v>
      </c>
      <c r="C31" s="31" t="s">
        <v>6</v>
      </c>
      <c r="D31" s="31" t="s">
        <v>9</v>
      </c>
      <c r="J31" s="14" t="s">
        <v>217</v>
      </c>
      <c r="K31" s="28" t="s">
        <v>6</v>
      </c>
      <c r="N31" s="15"/>
      <c r="O31" s="15"/>
    </row>
    <row r="32" spans="1:15">
      <c r="A32" s="28" t="s">
        <v>312</v>
      </c>
      <c r="B32" s="31">
        <v>276</v>
      </c>
      <c r="C32" s="31" t="s">
        <v>9</v>
      </c>
      <c r="D32" s="31" t="s">
        <v>275</v>
      </c>
      <c r="J32" s="14" t="s">
        <v>233</v>
      </c>
      <c r="K32" s="28" t="s">
        <v>6</v>
      </c>
      <c r="N32" s="15"/>
      <c r="O32" s="15"/>
    </row>
    <row r="33" spans="1:15">
      <c r="A33" s="28" t="s">
        <v>313</v>
      </c>
      <c r="B33" s="31">
        <v>275</v>
      </c>
      <c r="C33" s="31" t="s">
        <v>6</v>
      </c>
      <c r="D33" s="31" t="s">
        <v>6</v>
      </c>
      <c r="J33" s="14" t="s">
        <v>216</v>
      </c>
      <c r="K33" s="28" t="s">
        <v>9</v>
      </c>
      <c r="N33" s="15"/>
      <c r="O33" s="15"/>
    </row>
    <row r="34" spans="1:15">
      <c r="A34" s="28" t="s">
        <v>314</v>
      </c>
      <c r="B34" s="31">
        <v>268</v>
      </c>
      <c r="C34" s="31" t="s">
        <v>6</v>
      </c>
      <c r="D34" s="31" t="s">
        <v>6</v>
      </c>
      <c r="J34" s="14" t="s">
        <v>261</v>
      </c>
      <c r="K34" s="28" t="s">
        <v>9</v>
      </c>
      <c r="N34" s="15"/>
      <c r="O34" s="15"/>
    </row>
    <row r="35" spans="1:15">
      <c r="A35" s="28" t="s">
        <v>315</v>
      </c>
      <c r="B35" s="31">
        <v>261</v>
      </c>
      <c r="C35" s="31" t="s">
        <v>6</v>
      </c>
      <c r="D35" s="31" t="s">
        <v>6</v>
      </c>
      <c r="J35" s="14" t="s">
        <v>316</v>
      </c>
      <c r="K35" s="28" t="s">
        <v>9</v>
      </c>
      <c r="N35" s="15"/>
      <c r="O35" s="15"/>
    </row>
    <row r="36" spans="1:15">
      <c r="A36" s="28" t="s">
        <v>317</v>
      </c>
      <c r="B36" s="31">
        <v>261</v>
      </c>
      <c r="C36" s="31" t="s">
        <v>6</v>
      </c>
      <c r="D36" s="31" t="s">
        <v>6</v>
      </c>
      <c r="J36" s="14" t="s">
        <v>219</v>
      </c>
      <c r="K36" s="28" t="s">
        <v>9</v>
      </c>
      <c r="N36" s="15"/>
      <c r="O36" s="15"/>
    </row>
    <row r="37" spans="1:15">
      <c r="A37" s="28" t="s">
        <v>318</v>
      </c>
      <c r="B37" s="31">
        <v>261</v>
      </c>
      <c r="C37" s="31" t="s">
        <v>6</v>
      </c>
      <c r="D37" s="31" t="s">
        <v>6</v>
      </c>
      <c r="J37" s="14" t="s">
        <v>319</v>
      </c>
      <c r="K37" s="28" t="s">
        <v>9</v>
      </c>
      <c r="N37" s="15"/>
      <c r="O37" s="15"/>
    </row>
    <row r="38" spans="1:15">
      <c r="A38" s="28" t="s">
        <v>320</v>
      </c>
      <c r="B38" s="31">
        <v>257</v>
      </c>
      <c r="C38" s="31" t="s">
        <v>6</v>
      </c>
      <c r="D38" s="31" t="s">
        <v>6</v>
      </c>
      <c r="J38" s="14" t="s">
        <v>321</v>
      </c>
      <c r="K38" s="28" t="s">
        <v>9</v>
      </c>
      <c r="N38" s="15"/>
      <c r="O38" s="15"/>
    </row>
    <row r="39" spans="1:15">
      <c r="A39" s="28" t="s">
        <v>322</v>
      </c>
      <c r="B39" s="31">
        <v>257</v>
      </c>
      <c r="C39" s="31" t="s">
        <v>6</v>
      </c>
      <c r="D39" s="31" t="s">
        <v>6</v>
      </c>
      <c r="J39" s="14" t="s">
        <v>323</v>
      </c>
      <c r="K39" s="28" t="s">
        <v>9</v>
      </c>
    </row>
    <row r="40" spans="1:15">
      <c r="A40" s="28" t="s">
        <v>324</v>
      </c>
      <c r="B40" s="31">
        <v>254</v>
      </c>
      <c r="C40" s="31" t="s">
        <v>6</v>
      </c>
      <c r="D40" s="31" t="s">
        <v>6</v>
      </c>
      <c r="J40" s="14" t="s">
        <v>222</v>
      </c>
      <c r="K40" s="28" t="s">
        <v>9</v>
      </c>
    </row>
    <row r="41" spans="1:15">
      <c r="A41" s="28" t="s">
        <v>325</v>
      </c>
      <c r="B41" s="31">
        <v>252</v>
      </c>
      <c r="C41" s="31" t="s">
        <v>9</v>
      </c>
      <c r="D41" s="31" t="s">
        <v>275</v>
      </c>
      <c r="J41" s="14" t="s">
        <v>263</v>
      </c>
      <c r="K41" s="28" t="s">
        <v>9</v>
      </c>
    </row>
    <row r="42" spans="1:15">
      <c r="A42" s="28" t="s">
        <v>326</v>
      </c>
      <c r="B42" s="31">
        <v>252</v>
      </c>
      <c r="C42" s="31" t="s">
        <v>9</v>
      </c>
      <c r="D42" s="31" t="s">
        <v>275</v>
      </c>
      <c r="J42" s="14" t="s">
        <v>251</v>
      </c>
      <c r="K42" s="28" t="s">
        <v>9</v>
      </c>
    </row>
    <row r="43" spans="1:15">
      <c r="A43" s="28" t="s">
        <v>327</v>
      </c>
      <c r="B43" s="31">
        <v>252</v>
      </c>
      <c r="C43" s="31" t="s">
        <v>9</v>
      </c>
      <c r="D43" s="31" t="s">
        <v>275</v>
      </c>
      <c r="J43" s="14" t="s">
        <v>243</v>
      </c>
      <c r="K43" s="28" t="s">
        <v>9</v>
      </c>
    </row>
    <row r="44" spans="1:15">
      <c r="A44" s="28" t="s">
        <v>328</v>
      </c>
      <c r="B44" s="31">
        <v>252</v>
      </c>
      <c r="C44" s="31" t="s">
        <v>9</v>
      </c>
      <c r="D44" s="31" t="s">
        <v>275</v>
      </c>
      <c r="J44" s="14" t="s">
        <v>234</v>
      </c>
      <c r="K44" s="28" t="s">
        <v>9</v>
      </c>
    </row>
    <row r="45" spans="1:15">
      <c r="A45" s="28" t="s">
        <v>329</v>
      </c>
      <c r="B45" s="31">
        <v>251</v>
      </c>
      <c r="C45" s="31" t="s">
        <v>9</v>
      </c>
      <c r="D45" s="31" t="s">
        <v>275</v>
      </c>
      <c r="J45" s="14" t="s">
        <v>330</v>
      </c>
      <c r="K45" s="28" t="s">
        <v>9</v>
      </c>
    </row>
    <row r="46" spans="1:15">
      <c r="A46" s="28" t="s">
        <v>331</v>
      </c>
      <c r="B46" s="31">
        <v>251</v>
      </c>
      <c r="C46" s="31" t="s">
        <v>9</v>
      </c>
      <c r="D46" s="31" t="s">
        <v>275</v>
      </c>
      <c r="J46" s="14" t="s">
        <v>249</v>
      </c>
      <c r="K46" s="28" t="s">
        <v>9</v>
      </c>
    </row>
    <row r="47" spans="1:15">
      <c r="A47" s="28" t="s">
        <v>332</v>
      </c>
      <c r="B47" s="31">
        <v>248</v>
      </c>
      <c r="C47" s="31" t="s">
        <v>6</v>
      </c>
      <c r="D47" s="31" t="s">
        <v>6</v>
      </c>
      <c r="J47" s="14" t="s">
        <v>333</v>
      </c>
      <c r="K47" s="28" t="s">
        <v>9</v>
      </c>
    </row>
    <row r="48" spans="1:15">
      <c r="A48" s="28" t="s">
        <v>334</v>
      </c>
      <c r="B48" s="31">
        <v>248</v>
      </c>
      <c r="C48" s="31" t="s">
        <v>6</v>
      </c>
      <c r="D48" s="31" t="s">
        <v>6</v>
      </c>
      <c r="J48" s="14" t="s">
        <v>236</v>
      </c>
      <c r="K48" s="28" t="s">
        <v>9</v>
      </c>
    </row>
    <row r="49" spans="1:11" ht="28.5">
      <c r="J49" s="14" t="s">
        <v>260</v>
      </c>
      <c r="K49" s="28" t="s">
        <v>9</v>
      </c>
    </row>
    <row r="50" spans="1:11" ht="30" customHeight="1">
      <c r="A50" s="4" t="s">
        <v>335</v>
      </c>
      <c r="B50" s="4"/>
      <c r="C50" s="4"/>
      <c r="D50" s="4"/>
      <c r="J50" s="14" t="s">
        <v>257</v>
      </c>
      <c r="K50" s="28" t="s">
        <v>9</v>
      </c>
    </row>
    <row r="51" spans="1:11">
      <c r="J51" s="14" t="s">
        <v>225</v>
      </c>
      <c r="K51" s="28" t="s">
        <v>9</v>
      </c>
    </row>
    <row r="54" spans="1:11" ht="14.25" customHeight="1">
      <c r="A54" s="3" t="s">
        <v>336</v>
      </c>
      <c r="B54" s="3"/>
      <c r="C54" s="3"/>
      <c r="J54" t="s">
        <v>337</v>
      </c>
      <c r="K54">
        <f>COUNTIFS(K2:K51, "Yes")</f>
        <v>31</v>
      </c>
    </row>
    <row r="55" spans="1:11">
      <c r="A55" s="32" t="s">
        <v>338</v>
      </c>
      <c r="B55" s="32"/>
      <c r="C55" s="32">
        <f>COUNTIFS(C1:C50,C48)</f>
        <v>28</v>
      </c>
      <c r="J55" t="s">
        <v>339</v>
      </c>
      <c r="K55">
        <f>COUNTIFS(K2:K51, "No")</f>
        <v>19</v>
      </c>
    </row>
    <row r="56" spans="1:11">
      <c r="A56" s="32" t="s">
        <v>340</v>
      </c>
      <c r="B56" s="32"/>
      <c r="C56" s="32">
        <f>COUNTIFS(C1:C51,C46)</f>
        <v>19</v>
      </c>
      <c r="D56" s="33"/>
    </row>
    <row r="57" spans="1:11">
      <c r="A57" s="32" t="s">
        <v>341</v>
      </c>
      <c r="B57" s="32"/>
      <c r="C57" s="34">
        <f>(C55/(C55+C56))*100</f>
        <v>59.574468085106382</v>
      </c>
      <c r="D57" s="33"/>
    </row>
    <row r="58" spans="1:11">
      <c r="A58" s="32" t="s">
        <v>342</v>
      </c>
      <c r="B58" s="32"/>
      <c r="C58" s="34">
        <f>(C56/(C55+C56))*100</f>
        <v>40.425531914893611</v>
      </c>
    </row>
    <row r="62" spans="1:11" ht="14.25" customHeight="1">
      <c r="A62" s="3" t="s">
        <v>343</v>
      </c>
      <c r="B62" s="3"/>
      <c r="C62" s="3"/>
    </row>
    <row r="63" spans="1:11">
      <c r="A63" s="32" t="s">
        <v>338</v>
      </c>
      <c r="B63" s="32"/>
      <c r="C63" s="32">
        <f>COUNTIFS(D2:D48, "Yes")</f>
        <v>25</v>
      </c>
    </row>
    <row r="64" spans="1:11">
      <c r="A64" s="32" t="s">
        <v>340</v>
      </c>
      <c r="B64" s="32"/>
      <c r="C64" s="32">
        <f>COUNTIFS(D2:D48,"No")</f>
        <v>4</v>
      </c>
    </row>
    <row r="65" spans="1:3">
      <c r="A65" s="32" t="s">
        <v>341</v>
      </c>
      <c r="B65" s="32"/>
      <c r="C65" s="34">
        <f>(C63/(C63+C64))*100</f>
        <v>86.206896551724128</v>
      </c>
    </row>
    <row r="66" spans="1:3">
      <c r="A66" s="32" t="s">
        <v>342</v>
      </c>
      <c r="B66" s="32"/>
      <c r="C66" s="34">
        <f>(C64/(C63+C64))*100</f>
        <v>13.793103448275861</v>
      </c>
    </row>
  </sheetData>
  <autoFilter ref="A1:D1" xr:uid="{00000000-0009-0000-0000-000003000000}"/>
  <mergeCells count="3">
    <mergeCell ref="A50:D50"/>
    <mergeCell ref="A54:C54"/>
    <mergeCell ref="A62:C62"/>
  </mergeCells>
  <conditionalFormatting sqref="C51:C53 C55:C61 C63:C1048576">
    <cfRule type="cellIs" dxfId="5" priority="2" operator="equal">
      <formula>"No"</formula>
    </cfRule>
    <cfRule type="cellIs" dxfId="4" priority="3" operator="equal">
      <formula>"Yes"</formula>
    </cfRule>
  </conditionalFormatting>
  <conditionalFormatting sqref="C1:D49 D51:D57">
    <cfRule type="cellIs" dxfId="3" priority="4" operator="equal">
      <formula>"No"</formula>
    </cfRule>
    <cfRule type="cellIs" dxfId="2" priority="5" operator="equal">
      <formula>"Yes"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4"/>
  <sheetViews>
    <sheetView topLeftCell="A28" zoomScaleNormal="100" workbookViewId="0">
      <selection activeCell="G41" sqref="G41"/>
    </sheetView>
  </sheetViews>
  <sheetFormatPr defaultColWidth="8.85546875" defaultRowHeight="14.25"/>
  <cols>
    <col min="1" max="1" width="36.42578125" customWidth="1"/>
    <col min="3" max="4" width="13.42578125" customWidth="1"/>
    <col min="5" max="5" width="9.28515625" customWidth="1"/>
    <col min="6" max="6" width="10" customWidth="1"/>
    <col min="7" max="7" width="32.42578125" customWidth="1"/>
  </cols>
  <sheetData>
    <row r="1" spans="1:10" ht="14.25" customHeight="1">
      <c r="A1" s="2" t="s">
        <v>344</v>
      </c>
      <c r="B1" s="2"/>
      <c r="C1" s="2"/>
      <c r="D1" s="2"/>
      <c r="G1" s="2" t="s">
        <v>345</v>
      </c>
      <c r="H1" s="2"/>
      <c r="I1" s="2"/>
      <c r="J1" s="2"/>
    </row>
    <row r="2" spans="1:10" ht="57">
      <c r="A2" s="35" t="s">
        <v>346</v>
      </c>
      <c r="B2" s="35" t="s">
        <v>347</v>
      </c>
      <c r="C2" s="35" t="s">
        <v>269</v>
      </c>
      <c r="D2" s="35" t="s">
        <v>270</v>
      </c>
      <c r="E2" s="36"/>
      <c r="F2" s="36"/>
      <c r="G2" s="35" t="s">
        <v>346</v>
      </c>
      <c r="H2" s="35" t="s">
        <v>347</v>
      </c>
      <c r="I2" s="35" t="s">
        <v>269</v>
      </c>
      <c r="J2" s="35" t="s">
        <v>270</v>
      </c>
    </row>
    <row r="3" spans="1:10">
      <c r="A3" s="37" t="s">
        <v>273</v>
      </c>
      <c r="B3" s="38">
        <v>386</v>
      </c>
      <c r="C3" s="38" t="s">
        <v>6</v>
      </c>
      <c r="D3" s="38" t="s">
        <v>6</v>
      </c>
      <c r="G3" s="37" t="s">
        <v>278</v>
      </c>
      <c r="H3" s="38">
        <v>1380</v>
      </c>
      <c r="I3" s="38" t="s">
        <v>9</v>
      </c>
      <c r="J3" s="38" t="s">
        <v>9</v>
      </c>
    </row>
    <row r="4" spans="1:10">
      <c r="A4" s="28" t="s">
        <v>276</v>
      </c>
      <c r="B4" s="31">
        <v>262</v>
      </c>
      <c r="C4" s="31" t="s">
        <v>6</v>
      </c>
      <c r="D4" s="31" t="s">
        <v>6</v>
      </c>
      <c r="G4" s="28" t="s">
        <v>273</v>
      </c>
      <c r="H4" s="31">
        <v>1180</v>
      </c>
      <c r="I4" s="31" t="s">
        <v>6</v>
      </c>
      <c r="J4" s="31" t="s">
        <v>6</v>
      </c>
    </row>
    <row r="5" spans="1:10">
      <c r="A5" s="28" t="s">
        <v>287</v>
      </c>
      <c r="B5" s="31">
        <v>252</v>
      </c>
      <c r="C5" s="31" t="s">
        <v>6</v>
      </c>
      <c r="D5" s="31" t="s">
        <v>6</v>
      </c>
      <c r="G5" s="28" t="s">
        <v>276</v>
      </c>
      <c r="H5" s="31">
        <v>1047</v>
      </c>
      <c r="I5" s="31" t="s">
        <v>6</v>
      </c>
      <c r="J5" s="31" t="s">
        <v>6</v>
      </c>
    </row>
    <row r="6" spans="1:10">
      <c r="A6" s="28" t="s">
        <v>314</v>
      </c>
      <c r="B6" s="31">
        <v>249</v>
      </c>
      <c r="C6" s="31" t="s">
        <v>6</v>
      </c>
      <c r="D6" s="31" t="s">
        <v>6</v>
      </c>
      <c r="G6" s="28" t="s">
        <v>279</v>
      </c>
      <c r="H6" s="31">
        <v>652</v>
      </c>
      <c r="I6" s="31" t="s">
        <v>6</v>
      </c>
      <c r="J6" s="31" t="s">
        <v>6</v>
      </c>
    </row>
    <row r="7" spans="1:10">
      <c r="A7" s="28" t="s">
        <v>311</v>
      </c>
      <c r="B7" s="31">
        <v>134</v>
      </c>
      <c r="C7" s="31" t="s">
        <v>9</v>
      </c>
      <c r="D7" s="31" t="s">
        <v>9</v>
      </c>
      <c r="F7" s="36"/>
      <c r="G7" s="28" t="s">
        <v>287</v>
      </c>
      <c r="H7" s="31">
        <v>535</v>
      </c>
      <c r="I7" s="31" t="s">
        <v>6</v>
      </c>
      <c r="J7" s="31" t="s">
        <v>6</v>
      </c>
    </row>
    <row r="8" spans="1:10">
      <c r="A8" s="28" t="s">
        <v>296</v>
      </c>
      <c r="B8" s="31">
        <v>133</v>
      </c>
      <c r="C8" s="31" t="s">
        <v>6</v>
      </c>
      <c r="D8" s="31" t="s">
        <v>6</v>
      </c>
      <c r="G8" s="28" t="s">
        <v>285</v>
      </c>
      <c r="H8" s="31">
        <v>534</v>
      </c>
      <c r="I8" s="39" t="s">
        <v>9</v>
      </c>
      <c r="J8" s="39" t="s">
        <v>9</v>
      </c>
    </row>
    <row r="9" spans="1:10">
      <c r="A9" s="28" t="s">
        <v>348</v>
      </c>
      <c r="B9" s="31">
        <v>132</v>
      </c>
      <c r="C9" s="39" t="s">
        <v>6</v>
      </c>
      <c r="D9" s="39" t="s">
        <v>6</v>
      </c>
      <c r="G9" s="28" t="s">
        <v>293</v>
      </c>
      <c r="H9" s="31">
        <v>498</v>
      </c>
      <c r="I9" s="39" t="s">
        <v>6</v>
      </c>
      <c r="J9" s="40" t="s">
        <v>6</v>
      </c>
    </row>
    <row r="10" spans="1:10">
      <c r="A10" s="28" t="s">
        <v>279</v>
      </c>
      <c r="B10" s="31">
        <v>132</v>
      </c>
      <c r="C10" s="31" t="s">
        <v>6</v>
      </c>
      <c r="D10" s="31" t="s">
        <v>6</v>
      </c>
      <c r="G10" s="28" t="s">
        <v>303</v>
      </c>
      <c r="H10" s="31">
        <v>380</v>
      </c>
      <c r="I10" s="39" t="s">
        <v>6</v>
      </c>
      <c r="J10" s="40" t="s">
        <v>6</v>
      </c>
    </row>
    <row r="11" spans="1:10">
      <c r="A11" s="28" t="s">
        <v>278</v>
      </c>
      <c r="B11" s="31">
        <v>132</v>
      </c>
      <c r="C11" s="31" t="s">
        <v>9</v>
      </c>
      <c r="D11" s="31" t="s">
        <v>9</v>
      </c>
      <c r="F11" s="36"/>
      <c r="G11" s="28" t="s">
        <v>291</v>
      </c>
      <c r="H11" s="31">
        <v>377</v>
      </c>
      <c r="I11" s="39" t="s">
        <v>6</v>
      </c>
      <c r="J11" s="40" t="s">
        <v>6</v>
      </c>
    </row>
    <row r="12" spans="1:10">
      <c r="A12" s="28" t="s">
        <v>285</v>
      </c>
      <c r="B12" s="31">
        <v>132</v>
      </c>
      <c r="C12" s="39" t="s">
        <v>9</v>
      </c>
      <c r="D12" s="39" t="s">
        <v>9</v>
      </c>
      <c r="F12" s="36"/>
      <c r="G12" s="28" t="s">
        <v>308</v>
      </c>
      <c r="H12" s="31">
        <v>373</v>
      </c>
      <c r="I12" s="39" t="s">
        <v>6</v>
      </c>
      <c r="J12" s="40" t="s">
        <v>6</v>
      </c>
    </row>
    <row r="13" spans="1:10">
      <c r="A13" s="28" t="s">
        <v>297</v>
      </c>
      <c r="B13" s="31">
        <v>130</v>
      </c>
      <c r="C13" s="39" t="s">
        <v>6</v>
      </c>
      <c r="D13" s="39" t="s">
        <v>6</v>
      </c>
      <c r="G13" s="28" t="s">
        <v>311</v>
      </c>
      <c r="H13" s="31">
        <v>300</v>
      </c>
      <c r="I13" s="31" t="s">
        <v>9</v>
      </c>
      <c r="J13" s="31" t="s">
        <v>9</v>
      </c>
    </row>
    <row r="14" spans="1:10">
      <c r="A14" s="28" t="s">
        <v>349</v>
      </c>
      <c r="B14" s="31">
        <v>127</v>
      </c>
      <c r="C14" s="39" t="s">
        <v>6</v>
      </c>
      <c r="D14" s="39" t="s">
        <v>6</v>
      </c>
      <c r="G14" s="28" t="s">
        <v>297</v>
      </c>
      <c r="H14" s="31">
        <v>283</v>
      </c>
      <c r="I14" s="39" t="s">
        <v>6</v>
      </c>
      <c r="J14" s="39" t="s">
        <v>6</v>
      </c>
    </row>
    <row r="15" spans="1:10">
      <c r="A15" s="28" t="s">
        <v>298</v>
      </c>
      <c r="B15" s="31">
        <v>126</v>
      </c>
      <c r="C15" s="39" t="s">
        <v>6</v>
      </c>
      <c r="D15" s="40" t="s">
        <v>6</v>
      </c>
      <c r="G15" s="28" t="s">
        <v>296</v>
      </c>
      <c r="H15" s="31">
        <v>280</v>
      </c>
      <c r="I15" s="31" t="s">
        <v>6</v>
      </c>
      <c r="J15" s="31" t="s">
        <v>6</v>
      </c>
    </row>
    <row r="16" spans="1:10">
      <c r="A16" s="28" t="s">
        <v>251</v>
      </c>
      <c r="B16" s="31">
        <v>126</v>
      </c>
      <c r="C16" s="39" t="s">
        <v>9</v>
      </c>
      <c r="D16" s="40" t="s">
        <v>9</v>
      </c>
      <c r="F16" s="36"/>
      <c r="G16" s="28" t="s">
        <v>298</v>
      </c>
      <c r="H16" s="31">
        <v>279</v>
      </c>
      <c r="I16" s="31" t="s">
        <v>6</v>
      </c>
      <c r="J16" s="31" t="s">
        <v>6</v>
      </c>
    </row>
    <row r="17" spans="1:10">
      <c r="A17" s="28" t="s">
        <v>350</v>
      </c>
      <c r="B17" s="31">
        <v>126</v>
      </c>
      <c r="C17" s="39" t="s">
        <v>9</v>
      </c>
      <c r="D17" s="40" t="s">
        <v>9</v>
      </c>
      <c r="F17" s="36"/>
      <c r="G17" s="28" t="s">
        <v>299</v>
      </c>
      <c r="H17" s="31">
        <v>271</v>
      </c>
      <c r="I17" s="39" t="s">
        <v>6</v>
      </c>
      <c r="J17" s="40" t="s">
        <v>6</v>
      </c>
    </row>
    <row r="18" spans="1:10">
      <c r="A18" s="28" t="s">
        <v>351</v>
      </c>
      <c r="B18" s="31">
        <v>125</v>
      </c>
      <c r="C18" s="39" t="s">
        <v>9</v>
      </c>
      <c r="D18" s="40" t="s">
        <v>9</v>
      </c>
      <c r="F18" s="36"/>
      <c r="G18" s="28" t="s">
        <v>318</v>
      </c>
      <c r="H18" s="31">
        <v>260</v>
      </c>
      <c r="I18" s="31" t="s">
        <v>6</v>
      </c>
      <c r="J18" s="31" t="s">
        <v>6</v>
      </c>
    </row>
    <row r="19" spans="1:10">
      <c r="A19" s="28" t="s">
        <v>291</v>
      </c>
      <c r="B19" s="31">
        <v>125</v>
      </c>
      <c r="C19" s="39" t="s">
        <v>6</v>
      </c>
      <c r="D19" s="40" t="s">
        <v>6</v>
      </c>
      <c r="G19" s="28" t="s">
        <v>317</v>
      </c>
      <c r="H19" s="31">
        <v>257</v>
      </c>
      <c r="I19" s="39" t="s">
        <v>6</v>
      </c>
      <c r="J19" s="40" t="s">
        <v>6</v>
      </c>
    </row>
    <row r="20" spans="1:10">
      <c r="A20" s="28" t="s">
        <v>352</v>
      </c>
      <c r="B20" s="31">
        <v>125</v>
      </c>
      <c r="C20" s="39" t="s">
        <v>6</v>
      </c>
      <c r="D20" s="40" t="s">
        <v>6</v>
      </c>
      <c r="G20" s="28" t="s">
        <v>324</v>
      </c>
      <c r="H20" s="31">
        <v>253</v>
      </c>
      <c r="I20" s="39" t="s">
        <v>6</v>
      </c>
      <c r="J20" s="40" t="s">
        <v>6</v>
      </c>
    </row>
    <row r="21" spans="1:10">
      <c r="A21" s="28" t="s">
        <v>299</v>
      </c>
      <c r="B21" s="31">
        <v>125</v>
      </c>
      <c r="C21" s="39" t="s">
        <v>6</v>
      </c>
      <c r="D21" s="40" t="s">
        <v>6</v>
      </c>
      <c r="G21" s="28" t="s">
        <v>352</v>
      </c>
      <c r="H21" s="31">
        <v>253</v>
      </c>
      <c r="I21" s="39" t="s">
        <v>6</v>
      </c>
      <c r="J21" s="40" t="s">
        <v>6</v>
      </c>
    </row>
    <row r="22" spans="1:10">
      <c r="A22" s="28" t="s">
        <v>315</v>
      </c>
      <c r="B22" s="31">
        <v>123</v>
      </c>
      <c r="C22" s="39" t="s">
        <v>6</v>
      </c>
      <c r="D22" s="40" t="s">
        <v>6</v>
      </c>
      <c r="G22" s="28" t="s">
        <v>348</v>
      </c>
      <c r="H22" s="31">
        <v>160</v>
      </c>
      <c r="I22" s="39" t="s">
        <v>6</v>
      </c>
      <c r="J22" s="40" t="s">
        <v>6</v>
      </c>
    </row>
    <row r="23" spans="1:10">
      <c r="A23" s="28" t="s">
        <v>322</v>
      </c>
      <c r="B23" s="31">
        <v>123</v>
      </c>
      <c r="C23" s="39" t="s">
        <v>9</v>
      </c>
      <c r="D23" s="40" t="s">
        <v>6</v>
      </c>
      <c r="G23" s="28" t="s">
        <v>353</v>
      </c>
      <c r="H23" s="31">
        <v>160</v>
      </c>
      <c r="I23" s="39" t="s">
        <v>6</v>
      </c>
      <c r="J23" s="40" t="s">
        <v>6</v>
      </c>
    </row>
    <row r="24" spans="1:10">
      <c r="A24" s="28" t="s">
        <v>354</v>
      </c>
      <c r="B24" s="31">
        <v>123</v>
      </c>
      <c r="C24" s="39" t="s">
        <v>6</v>
      </c>
      <c r="D24" s="40" t="s">
        <v>9</v>
      </c>
      <c r="F24" s="36"/>
      <c r="G24" s="28" t="s">
        <v>355</v>
      </c>
      <c r="H24" s="31">
        <v>143</v>
      </c>
      <c r="I24" s="39" t="s">
        <v>6</v>
      </c>
      <c r="J24" s="40" t="s">
        <v>6</v>
      </c>
    </row>
    <row r="25" spans="1:10">
      <c r="A25" s="28" t="s">
        <v>332</v>
      </c>
      <c r="B25" s="31">
        <v>123</v>
      </c>
      <c r="C25" s="39" t="s">
        <v>6</v>
      </c>
      <c r="D25" s="40" t="s">
        <v>6</v>
      </c>
      <c r="G25" s="28" t="s">
        <v>251</v>
      </c>
      <c r="H25" s="31">
        <v>141</v>
      </c>
      <c r="I25" s="39" t="s">
        <v>9</v>
      </c>
      <c r="J25" s="40" t="s">
        <v>9</v>
      </c>
    </row>
    <row r="26" spans="1:10">
      <c r="A26" s="28" t="s">
        <v>356</v>
      </c>
      <c r="B26" s="31">
        <v>123</v>
      </c>
      <c r="C26" s="39" t="s">
        <v>9</v>
      </c>
      <c r="D26" s="40" t="s">
        <v>6</v>
      </c>
      <c r="G26" s="28" t="s">
        <v>357</v>
      </c>
      <c r="H26" s="31">
        <v>138</v>
      </c>
      <c r="I26" s="39" t="s">
        <v>6</v>
      </c>
      <c r="J26" s="40" t="s">
        <v>6</v>
      </c>
    </row>
    <row r="27" spans="1:10">
      <c r="A27" s="28" t="s">
        <v>334</v>
      </c>
      <c r="B27" s="31">
        <v>123</v>
      </c>
      <c r="C27" s="39" t="s">
        <v>6</v>
      </c>
      <c r="D27" s="40" t="s">
        <v>6</v>
      </c>
      <c r="G27" s="28" t="s">
        <v>315</v>
      </c>
      <c r="H27" s="31">
        <v>138</v>
      </c>
      <c r="I27" s="31" t="s">
        <v>6</v>
      </c>
      <c r="J27" s="31" t="s">
        <v>6</v>
      </c>
    </row>
    <row r="28" spans="1:10">
      <c r="A28" s="28" t="s">
        <v>358</v>
      </c>
      <c r="B28" s="31">
        <v>123</v>
      </c>
      <c r="C28" s="39" t="s">
        <v>6</v>
      </c>
      <c r="D28" s="40" t="s">
        <v>6</v>
      </c>
      <c r="G28" s="28" t="s">
        <v>359</v>
      </c>
      <c r="H28" s="31">
        <v>134</v>
      </c>
      <c r="I28" s="39" t="s">
        <v>9</v>
      </c>
      <c r="J28" s="40" t="s">
        <v>9</v>
      </c>
    </row>
    <row r="29" spans="1:10">
      <c r="A29" s="28" t="s">
        <v>360</v>
      </c>
      <c r="B29" s="31">
        <v>122</v>
      </c>
      <c r="C29" s="39" t="s">
        <v>9</v>
      </c>
      <c r="D29" s="40" t="s">
        <v>9</v>
      </c>
      <c r="F29" s="36"/>
      <c r="G29" s="28" t="s">
        <v>322</v>
      </c>
      <c r="H29" s="31">
        <v>134</v>
      </c>
      <c r="I29" s="39" t="s">
        <v>9</v>
      </c>
      <c r="J29" s="40" t="s">
        <v>6</v>
      </c>
    </row>
    <row r="30" spans="1:10">
      <c r="A30" s="28" t="s">
        <v>361</v>
      </c>
      <c r="B30" s="31">
        <v>122</v>
      </c>
      <c r="C30" s="39" t="s">
        <v>6</v>
      </c>
      <c r="D30" s="40" t="s">
        <v>9</v>
      </c>
      <c r="F30" s="36"/>
      <c r="G30" s="28" t="s">
        <v>362</v>
      </c>
      <c r="H30" s="31">
        <v>133</v>
      </c>
      <c r="I30" s="39" t="s">
        <v>6</v>
      </c>
      <c r="J30" s="40" t="s">
        <v>6</v>
      </c>
    </row>
    <row r="31" spans="1:10">
      <c r="A31" s="15"/>
      <c r="B31" s="15"/>
      <c r="G31" s="28" t="s">
        <v>363</v>
      </c>
      <c r="H31" s="31">
        <v>132</v>
      </c>
      <c r="I31" s="39" t="s">
        <v>6</v>
      </c>
      <c r="J31" s="40" t="s">
        <v>6</v>
      </c>
    </row>
    <row r="32" spans="1:10">
      <c r="A32" s="41" t="s">
        <v>364</v>
      </c>
      <c r="B32" s="15"/>
      <c r="G32" s="28" t="s">
        <v>365</v>
      </c>
      <c r="H32" s="31">
        <v>129</v>
      </c>
      <c r="I32" s="39" t="s">
        <v>6</v>
      </c>
      <c r="J32" s="40" t="s">
        <v>6</v>
      </c>
    </row>
    <row r="33" spans="1:10" ht="46.5">
      <c r="A33" s="42" t="s">
        <v>366</v>
      </c>
      <c r="B33" s="15"/>
      <c r="G33" s="28" t="s">
        <v>367</v>
      </c>
      <c r="H33" s="31">
        <v>127</v>
      </c>
      <c r="I33" s="39" t="s">
        <v>6</v>
      </c>
      <c r="J33" s="40" t="s">
        <v>9</v>
      </c>
    </row>
    <row r="34" spans="1:10">
      <c r="A34" s="15"/>
      <c r="B34" s="15"/>
      <c r="G34" s="28" t="s">
        <v>330</v>
      </c>
      <c r="H34" s="31">
        <v>126</v>
      </c>
      <c r="I34" s="39" t="s">
        <v>6</v>
      </c>
      <c r="J34" s="40" t="s">
        <v>9</v>
      </c>
    </row>
    <row r="35" spans="1:10" ht="14.25" customHeight="1">
      <c r="A35" s="1" t="s">
        <v>368</v>
      </c>
      <c r="B35" s="1"/>
      <c r="C35" s="1"/>
      <c r="G35" s="28" t="s">
        <v>334</v>
      </c>
      <c r="H35" s="31">
        <v>125</v>
      </c>
      <c r="I35" s="39" t="s">
        <v>6</v>
      </c>
      <c r="J35" s="40" t="s">
        <v>6</v>
      </c>
    </row>
    <row r="36" spans="1:10">
      <c r="A36" s="28" t="s">
        <v>337</v>
      </c>
      <c r="B36" s="28"/>
      <c r="C36" s="12">
        <f>COUNTIFS(C3:C30, "Yes")</f>
        <v>19</v>
      </c>
      <c r="G36" s="28" t="s">
        <v>332</v>
      </c>
      <c r="H36" s="31">
        <v>125</v>
      </c>
      <c r="I36" s="39" t="s">
        <v>6</v>
      </c>
      <c r="J36" s="40" t="s">
        <v>6</v>
      </c>
    </row>
    <row r="37" spans="1:10">
      <c r="A37" s="28" t="s">
        <v>339</v>
      </c>
      <c r="B37" s="28"/>
      <c r="C37" s="12">
        <f>COUNTIFS(C3:C31, "No")</f>
        <v>9</v>
      </c>
      <c r="G37" s="28" t="s">
        <v>369</v>
      </c>
      <c r="H37" s="31">
        <v>124</v>
      </c>
      <c r="I37" s="39" t="s">
        <v>6</v>
      </c>
      <c r="J37" s="40" t="s">
        <v>6</v>
      </c>
    </row>
    <row r="38" spans="1:10">
      <c r="A38" s="28" t="s">
        <v>370</v>
      </c>
      <c r="B38" s="28"/>
      <c r="C38" s="34">
        <f>C36/(C36+C37)*100</f>
        <v>67.857142857142861</v>
      </c>
      <c r="G38" s="28" t="s">
        <v>371</v>
      </c>
      <c r="H38" s="31">
        <v>122</v>
      </c>
      <c r="I38" s="39" t="s">
        <v>6</v>
      </c>
      <c r="J38" s="40" t="s">
        <v>6</v>
      </c>
    </row>
    <row r="39" spans="1:10">
      <c r="A39" s="28" t="s">
        <v>372</v>
      </c>
      <c r="B39" s="28"/>
      <c r="C39" s="34">
        <f>C37/(C37+C36)*100</f>
        <v>32.142857142857146</v>
      </c>
    </row>
    <row r="40" spans="1:10">
      <c r="A40" s="15"/>
      <c r="B40" s="15"/>
      <c r="G40" s="36" t="s">
        <v>373</v>
      </c>
    </row>
    <row r="41" spans="1:10" ht="46.5">
      <c r="A41" s="15"/>
      <c r="B41" s="15"/>
      <c r="G41" s="42" t="s">
        <v>374</v>
      </c>
    </row>
    <row r="42" spans="1:10">
      <c r="A42" s="15"/>
      <c r="B42" s="15"/>
    </row>
    <row r="43" spans="1:10" ht="14.25" customHeight="1">
      <c r="A43" s="15"/>
      <c r="B43" s="15"/>
      <c r="G43" s="1" t="s">
        <v>375</v>
      </c>
      <c r="H43" s="1"/>
      <c r="I43" s="1"/>
    </row>
    <row r="44" spans="1:10">
      <c r="A44" s="15"/>
      <c r="B44" s="15"/>
      <c r="G44" s="28" t="s">
        <v>337</v>
      </c>
      <c r="H44" s="28"/>
      <c r="I44" s="12">
        <f>COUNTIFS(I3:I38, "Yes")</f>
        <v>30</v>
      </c>
    </row>
    <row r="45" spans="1:10">
      <c r="A45" s="15"/>
      <c r="B45" s="15"/>
      <c r="G45" s="28" t="s">
        <v>339</v>
      </c>
      <c r="H45" s="28"/>
      <c r="I45" s="12">
        <f>COUNTIFS(I3:I38, "No")</f>
        <v>6</v>
      </c>
    </row>
    <row r="46" spans="1:10">
      <c r="A46" s="15"/>
      <c r="B46" s="15"/>
      <c r="G46" s="28" t="s">
        <v>370</v>
      </c>
      <c r="H46" s="28"/>
      <c r="I46" s="34">
        <f>I44/(I44+I45)*100</f>
        <v>83.333333333333343</v>
      </c>
    </row>
    <row r="47" spans="1:10">
      <c r="A47" s="15"/>
      <c r="B47" s="15"/>
      <c r="G47" s="28" t="s">
        <v>372</v>
      </c>
      <c r="H47" s="28"/>
      <c r="I47" s="34">
        <f>I45/(I45+I44)*100</f>
        <v>16.666666666666664</v>
      </c>
    </row>
    <row r="48" spans="1:10">
      <c r="A48" s="15"/>
      <c r="B48" s="15"/>
    </row>
    <row r="49" spans="1:2">
      <c r="A49" s="15"/>
      <c r="B49" s="15"/>
    </row>
    <row r="50" spans="1:2">
      <c r="A50" s="15"/>
      <c r="B50" s="15"/>
    </row>
    <row r="51" spans="1:2">
      <c r="A51" s="15"/>
      <c r="B51" s="15"/>
    </row>
    <row r="52" spans="1:2">
      <c r="A52" s="15"/>
      <c r="B52" s="15"/>
    </row>
    <row r="53" spans="1:2">
      <c r="A53" s="15"/>
      <c r="B53" s="15"/>
    </row>
    <row r="54" spans="1:2">
      <c r="A54" s="15"/>
      <c r="B54" s="15"/>
    </row>
  </sheetData>
  <mergeCells count="4">
    <mergeCell ref="A1:D1"/>
    <mergeCell ref="G1:J1"/>
    <mergeCell ref="A35:C35"/>
    <mergeCell ref="G43:I43"/>
  </mergeCells>
  <conditionalFormatting sqref="C3:D30 I3:J38">
    <cfRule type="containsText" dxfId="1" priority="2" operator="containsText" text="No">
      <formula>NOT(ISERROR(SEARCH("No",C3)))</formula>
    </cfRule>
    <cfRule type="containsText" dxfId="0" priority="3" operator="containsText" text="Yes">
      <formula>NOT(ISERROR(SEARCH("Yes",C3)))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Nidhi Chahal</dc:creator>
  <cp:keywords/>
  <dc:description/>
  <cp:lastModifiedBy/>
  <cp:revision>3</cp:revision>
  <dcterms:created xsi:type="dcterms:W3CDTF">2025-09-26T13:19:57Z</dcterms:created>
  <dcterms:modified xsi:type="dcterms:W3CDTF">2026-02-26T07:18:48Z</dcterms:modified>
  <cp:category/>
  <cp:contentStatus/>
</cp:coreProperties>
</file>