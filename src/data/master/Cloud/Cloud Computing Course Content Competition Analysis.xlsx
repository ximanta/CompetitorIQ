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8"/>
  <workbookPr defaultThemeVersion="166925"/>
  <xr:revisionPtr revIDLastSave="0" documentId="8_{80E3D96E-C685-49D5-866C-3967EB3025A1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Comparison" sheetId="1" r:id="rId1"/>
    <sheet name="Price, Duration, Projects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69" i="1" l="1"/>
  <c r="D168" i="1"/>
  <c r="D167" i="1"/>
  <c r="D166" i="1"/>
  <c r="B175" i="1"/>
  <c r="B174" i="1"/>
  <c r="D172" i="1"/>
  <c r="D171" i="1"/>
</calcChain>
</file>

<file path=xl/sharedStrings.xml><?xml version="1.0" encoding="utf-8"?>
<sst xmlns="http://schemas.openxmlformats.org/spreadsheetml/2006/main" count="528" uniqueCount="207">
  <si>
    <t>Category</t>
  </si>
  <si>
    <t>Topic</t>
  </si>
  <si>
    <t>Essential</t>
  </si>
  <si>
    <t>NIIT(IT SysAdmin and Cloud Computing Advanced Program)</t>
  </si>
  <si>
    <t>Linux Essentials</t>
  </si>
  <si>
    <t>What is Linux &amp; Distributions</t>
  </si>
  <si>
    <t>Yes</t>
  </si>
  <si>
    <t>Linux File System Structure (/, /home, /etc)</t>
  </si>
  <si>
    <t>Basic Linux Commands (ls, cd, cp, mv)</t>
  </si>
  <si>
    <t>File Permissions &amp; Ownership</t>
  </si>
  <si>
    <t>Users and Groups</t>
  </si>
  <si>
    <t>Package Management (apt, yum)</t>
  </si>
  <si>
    <t>Process Management (ps, top, kill)</t>
  </si>
  <si>
    <t>Disk &amp; Storage Basics</t>
  </si>
  <si>
    <t>Networking Basics in Linux (ip, ping)</t>
  </si>
  <si>
    <t>Shell &amp; Terminal Usage</t>
  </si>
  <si>
    <t>Python</t>
  </si>
  <si>
    <t>Python Overview &amp; Use Cases</t>
  </si>
  <si>
    <t>Variables and Data Types</t>
  </si>
  <si>
    <t>Input and Output</t>
  </si>
  <si>
    <t>Conditional Statements</t>
  </si>
  <si>
    <t>Loops (for, while)</t>
  </si>
  <si>
    <t>Functions</t>
  </si>
  <si>
    <t>Lists, Tuples, and Dictionaries</t>
  </si>
  <si>
    <t>File Handling</t>
  </si>
  <si>
    <t>Working with JSON and API data handling</t>
  </si>
  <si>
    <t>No</t>
  </si>
  <si>
    <t>Python requests library for API communication</t>
  </si>
  <si>
    <t>Regular expressions for security log analysis</t>
  </si>
  <si>
    <t>Virtual environments and dependency management basics</t>
  </si>
  <si>
    <t>Python logging module for application monitoring</t>
  </si>
  <si>
    <t>Command line arguments using argparse module</t>
  </si>
  <si>
    <t>Introduction to object oriented programming concepts</t>
  </si>
  <si>
    <t>Basic multithreading for automation scripts</t>
  </si>
  <si>
    <t>Working with CSV files for cloud reports</t>
  </si>
  <si>
    <t>Error Handling (Exceptions)</t>
  </si>
  <si>
    <t>Basic Python Scripting</t>
  </si>
  <si>
    <t>MySQL</t>
  </si>
  <si>
    <t>What is a Database &amp; DBMS</t>
  </si>
  <si>
    <t>MySQL Architecture</t>
  </si>
  <si>
    <t>Creating Databases and Tables</t>
  </si>
  <si>
    <t>Data Types in MySQL</t>
  </si>
  <si>
    <t>CRUD Operations</t>
  </si>
  <si>
    <t>Primary and Foreign Keys</t>
  </si>
  <si>
    <t>SQL Constraints</t>
  </si>
  <si>
    <t>Joins (Basic)</t>
  </si>
  <si>
    <t>User management and role based access control</t>
  </si>
  <si>
    <t>MySQL privileges and permission management basics</t>
  </si>
  <si>
    <t>SQL injection concepts and prevention techniques</t>
  </si>
  <si>
    <t>Stored procedures and basic database functions</t>
  </si>
  <si>
    <t>Views for secure data abstraction</t>
  </si>
  <si>
    <t>Transactions and ACID property fundamentals</t>
  </si>
  <si>
    <t>Basic query optimization using EXPLAIN</t>
  </si>
  <si>
    <t>Performance monitoring using slow query logs</t>
  </si>
  <si>
    <t>Database connectivity using Python integration</t>
  </si>
  <si>
    <t>Introduction to managed databases on AWS RDS</t>
  </si>
  <si>
    <t>Indexes (Basics)</t>
  </si>
  <si>
    <t>Backup and Restore</t>
  </si>
  <si>
    <t>Networking</t>
  </si>
  <si>
    <t>What is a Network</t>
  </si>
  <si>
    <t>Types of Networks (LAN, WAN)</t>
  </si>
  <si>
    <t>OSI Model</t>
  </si>
  <si>
    <t>TCP/IP Model</t>
  </si>
  <si>
    <t>IPv4 subnetting practical exercises using real scenarios</t>
  </si>
  <si>
    <t>Subnetting Basics</t>
  </si>
  <si>
    <t>Introduction to IPv6 addressing fundamentals</t>
  </si>
  <si>
    <t>Static and dynamic routing configuration basics</t>
  </si>
  <si>
    <t>VLAN concepts and inter VLAN routing</t>
  </si>
  <si>
    <t>Network address translation configuration basics</t>
  </si>
  <si>
    <t>Access control lists configuration fundamentals</t>
  </si>
  <si>
    <t>Packet capture analysis using Wireshark basics</t>
  </si>
  <si>
    <t>Firewall concepts and packet filtering rules</t>
  </si>
  <si>
    <t>Basic load balancing concepts in networking</t>
  </si>
  <si>
    <t>Common Network Devices</t>
  </si>
  <si>
    <t>DNS, DHCP, HTTP</t>
  </si>
  <si>
    <t>Ports and Protocols</t>
  </si>
  <si>
    <t>Network Troubleshooting Basics</t>
  </si>
  <si>
    <t>Advanced Linux Administration</t>
  </si>
  <si>
    <t>Linux Boot Process</t>
  </si>
  <si>
    <t>System Services (systemctl)</t>
  </si>
  <si>
    <t>User &amp; Group Management (Advanced)</t>
  </si>
  <si>
    <t>Disk Partitioning &amp; Mounting</t>
  </si>
  <si>
    <t>Logical Volume Management (LVM)</t>
  </si>
  <si>
    <t>Log Management</t>
  </si>
  <si>
    <t>Job Scheduling (cron, at)</t>
  </si>
  <si>
    <t>Linux text processing tools for log analysis</t>
  </si>
  <si>
    <t>Basic shell scripting for task automation</t>
  </si>
  <si>
    <t>Advanced Linux networking utilities for troubleshooting</t>
  </si>
  <si>
    <t>Archive and compression tools for backups</t>
  </si>
  <si>
    <t>Linux boot troubleshooting and recovery basics</t>
  </si>
  <si>
    <t>Firewall management using UFW security rules</t>
  </si>
  <si>
    <t>Secure remote administration using SSH keys</t>
  </si>
  <si>
    <t>Backup and restore fundamentals using rsync</t>
  </si>
  <si>
    <t>Disk usage monitoring and capacity planning</t>
  </si>
  <si>
    <t>Introduction to SELinux security concepts</t>
  </si>
  <si>
    <t>Kernel Basics</t>
  </si>
  <si>
    <t>Performance Monitoring</t>
  </si>
  <si>
    <t>Linux Security Hardening</t>
  </si>
  <si>
    <t>Cloud Computing Basics</t>
  </si>
  <si>
    <t>What is Cloud Computing</t>
  </si>
  <si>
    <t>Cloud Service Models (IaaS, PaaS, SaaS)</t>
  </si>
  <si>
    <t>Deployment Models (Public, Private, Hybrid)</t>
  </si>
  <si>
    <t>Virtual Machines</t>
  </si>
  <si>
    <t>Storage Services</t>
  </si>
  <si>
    <t>AWS global infrastructure and availability zones concepts</t>
  </si>
  <si>
    <t>Shared responsibility model with AWS practical examples</t>
  </si>
  <si>
    <t>Basic hands on EC2 instance creation practice</t>
  </si>
  <si>
    <t>Introduction to cloud support troubleshooting scenarios</t>
  </si>
  <si>
    <t>Basic tagging and resource organization strategy</t>
  </si>
  <si>
    <t>Networking in Cloud</t>
  </si>
  <si>
    <t>Identity &amp; Access Management (IAM)</t>
  </si>
  <si>
    <t>Basic Cloud Security</t>
  </si>
  <si>
    <t>Cost Management Basics</t>
  </si>
  <si>
    <t>Popular Cloud Providers</t>
  </si>
  <si>
    <t>Information Security</t>
  </si>
  <si>
    <t>CIA Triad (Confidentiality, Integrity, Availability)</t>
  </si>
  <si>
    <t>Types of Cyber Threats</t>
  </si>
  <si>
    <t>Introduction to security operations center fundamentals</t>
  </si>
  <si>
    <t>Basic SIEM concepts and log correlation basics</t>
  </si>
  <si>
    <t>Identity and access management in cloud environments</t>
  </si>
  <si>
    <t>Multi factor authentication implementation concepts</t>
  </si>
  <si>
    <t>Public key infrastructure and digital certificates basics</t>
  </si>
  <si>
    <t>Hashing algorithms and password security practices</t>
  </si>
  <si>
    <t>Data protection and privacy regulations overview</t>
  </si>
  <si>
    <t>Malware Basics</t>
  </si>
  <si>
    <t>Authentication vs Authorization</t>
  </si>
  <si>
    <t>Encryption Basics</t>
  </si>
  <si>
    <t>Security Policies</t>
  </si>
  <si>
    <t>Risk, Threat &amp; Vulnerability</t>
  </si>
  <si>
    <t>Firewalls &amp; IDS/IPS</t>
  </si>
  <si>
    <t>Security Awareness</t>
  </si>
  <si>
    <t>Compliance &amp; Standards (ISO, PCI-DSS)</t>
  </si>
  <si>
    <t>Administration on the Cloud with Smart AI for Security and Architecture</t>
  </si>
  <si>
    <t>Cloud Computing fundamentals and service models (IaaS, PaaS, SaaS)</t>
  </si>
  <si>
    <t>AWS core services (EC2, S3, RDS, VPC, Route 53)</t>
  </si>
  <si>
    <t>Cloud networking (VPC peering, NAT Gateway, Load Balancer)</t>
  </si>
  <si>
    <t>High Availability, Disaster Recovery, and Elasticity</t>
  </si>
  <si>
    <t>AWS IAM policies and role based access control</t>
  </si>
  <si>
    <t>EBS volumes and snapshot management fundamentals</t>
  </si>
  <si>
    <t>Auto Scaling group configuration hands on practice</t>
  </si>
  <si>
    <t>Basic AWS security groups troubleshooting scenarios</t>
  </si>
  <si>
    <t>S3 lifecycle policies and storage optimization</t>
  </si>
  <si>
    <t>NO</t>
  </si>
  <si>
    <t>AWS Well Architected Framework introduction</t>
  </si>
  <si>
    <t>Cloud automation using AWS CloudShell, SDK, and Python (Boto3)</t>
  </si>
  <si>
    <t>Application provisioning with Elastic Beanstalk and CodePipeline</t>
  </si>
  <si>
    <t>Monitoring and log analysis using AWS CloudWatch</t>
  </si>
  <si>
    <t>Generative AI tools (ChatGPT, Gemini) for cloud automation</t>
  </si>
  <si>
    <t>Digital Infrastructure Automation with AI</t>
  </si>
  <si>
    <t xml:space="preserve"> fundamentals using Ansible for Linux systems.</t>
  </si>
  <si>
    <t>Ansible playbooks for package, service, and user management.</t>
  </si>
  <si>
    <t xml:space="preserve">Advanced Ansible concepts </t>
  </si>
  <si>
    <t>Introduction to Terraform infrastructure automation basics</t>
  </si>
  <si>
    <t>CI CD pipeline fundamentals using GitHub Actions</t>
  </si>
  <si>
    <t>Secrets management using AWS Secrets Manager</t>
  </si>
  <si>
    <t>Infrastructure state management and version control</t>
  </si>
  <si>
    <t>Container basics using Docker with AWS integration</t>
  </si>
  <si>
    <t>AWS resources using YAML-based CloudFormation templates.</t>
  </si>
  <si>
    <t>Managing CloudFormation stacks, updates, and change sets.</t>
  </si>
  <si>
    <t>Template validation, parameterization, and deployment using AWS CLI.</t>
  </si>
  <si>
    <t xml:space="preserve"> infrastructure deployment using reusable templates.</t>
  </si>
  <si>
    <t>Generative AI tools (ChatGPT, Gemini) for generating Ansible playbooks and CloudFormation templates.</t>
  </si>
  <si>
    <t>AI-driven troubleshooting, optimization, and security automation for cloud infrastructure.</t>
  </si>
  <si>
    <t>Continuous Monitoring and Observability on AWS</t>
  </si>
  <si>
    <t>Cloud monitoring and observability fundamentals</t>
  </si>
  <si>
    <t>AWS infrastructure health monitoring techniques</t>
  </si>
  <si>
    <t>CloudWatch metrics and performance analysis</t>
  </si>
  <si>
    <t>Custom CloudWatch dashboards creation</t>
  </si>
  <si>
    <t>AWS CloudTrail for audit logging fundamentals</t>
  </si>
  <si>
    <t>GuardDuty and Security Hub introduction basics</t>
  </si>
  <si>
    <t>Basic incident detection and alert response workflow</t>
  </si>
  <si>
    <t>Cost monitoring using AWS Cost Explorer</t>
  </si>
  <si>
    <t>Service level objectives and reliability fundamentals</t>
  </si>
  <si>
    <t>Alarms, anomaly detection, automated actions</t>
  </si>
  <si>
    <t>Event-driven monitoring with EventBridge</t>
  </si>
  <si>
    <t>Centralized logging using CloudWatch Logs</t>
  </si>
  <si>
    <t>Log querying with Logs Insights</t>
  </si>
  <si>
    <t>AWS compliance and security governance</t>
  </si>
  <si>
    <t>GenAI-driven cloud monitoring automation</t>
  </si>
  <si>
    <t>TOPIC END</t>
  </si>
  <si>
    <t>Essential Yes, Present Yes</t>
  </si>
  <si>
    <t>Essential Yes, Present No</t>
  </si>
  <si>
    <t>Essential No, Present Yes</t>
  </si>
  <si>
    <t>Essential No, Present No</t>
  </si>
  <si>
    <t>Essential Yes, Present Yes %</t>
  </si>
  <si>
    <t>Essential No, Present Yes %</t>
  </si>
  <si>
    <t>Essential Topics Count</t>
  </si>
  <si>
    <t>Desirable Topics Count</t>
  </si>
  <si>
    <t>Provider</t>
  </si>
  <si>
    <t>Course Name</t>
  </si>
  <si>
    <t>Price</t>
  </si>
  <si>
    <t>Duration</t>
  </si>
  <si>
    <t>Price/Week</t>
  </si>
  <si>
    <t>Projects</t>
  </si>
  <si>
    <t>Additional Services</t>
  </si>
  <si>
    <t>Eligibility Criteria</t>
  </si>
  <si>
    <t>Website Link</t>
  </si>
  <si>
    <t>Remarks</t>
  </si>
  <si>
    <t xml:space="preserve">NIIT </t>
  </si>
  <si>
    <t>Cybersecurity with GenAI Advanced Program</t>
  </si>
  <si>
    <t>Rs.99,000/- + 18%GST</t>
  </si>
  <si>
    <t>386 Hours (MON, WED, FRI) 07:30 PM to 09:30 PM (Mode: VILT)</t>
  </si>
  <si>
    <t>9 Course end projects &amp; 1 CTF Capstone Project</t>
  </si>
  <si>
    <t>Placement Assistance 
Learn Cybersecurity from EC-Council Certified Experts.
Master tools like Kali Linux, SQL Injection, and Generative AI.</t>
  </si>
  <si>
    <t>If you have a minimum of 50% in class X, XII, and graduation, you're eligible to apply.
Undergraduates must maintain at least 50% marks until the final year and achieve a minimum 50% aggregate upon graduation.
Open to BE/B.Tech, BCA, B.Sc. (Physics, Chemistry, Maths, Stats, CS, IT), B.Com. with Maths, MCA, and M.Sc IT graduates.</t>
  </si>
  <si>
    <t>Cybersecurity with GenAI Advanced Program – NIIT India</t>
  </si>
  <si>
    <t>Course-1: Linux System Administration Essentials
Course-2:Programming &amp; Scripting in Python
Course-3:Logical &amp; Physical Networks &amp; Internetworking with TCP/IP
Course-4:Advanced Linux System Administration
Course-5:Cloud Computing and Containerized Virtual Infrastructure
Course-6:Information Security Systems
Course-7:Ethical Hacking
Course-8:Scanning and Exploitation of Information Systems
Course-9:Security Operations of Information systems
Course-10:CTF Capstone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</si>
</sst>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 &quot;#,##0;[Red]&quot;₹ -&quot;#,##0"/>
  </numFmts>
  <fonts count="5">
    <font>
      <sz val="11"/>
      <color rgb="FF000000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2"/>
      <color rgb="FFFFFFFF"/>
      <name val="Calibri"/>
      <family val="2"/>
      <charset val="1"/>
    </font>
    <font>
      <u/>
      <sz val="11"/>
      <color rgb="FF467886"/>
      <name val="Aptos Narrow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E87331"/>
        <bgColor rgb="FFFF8080"/>
      </patternFill>
    </fill>
    <fill>
      <patternFill patternType="solid">
        <fgColor rgb="FFD9D9D9"/>
        <bgColor rgb="FFC6EFCE"/>
      </patternFill>
    </fill>
    <fill>
      <patternFill patternType="solid">
        <fgColor rgb="FF145F82"/>
        <bgColor rgb="FF008080"/>
      </patternFill>
    </fill>
    <fill>
      <patternFill patternType="solid">
        <fgColor rgb="FFFFFF00"/>
        <bgColor rgb="FFFFFF00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4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0" fillId="0" borderId="3" xfId="0" applyBorder="1" applyAlignment="1">
      <alignment wrapText="1"/>
    </xf>
    <xf numFmtId="0" fontId="0" fillId="3" borderId="2" xfId="0" applyFill="1" applyBorder="1"/>
    <xf numFmtId="0" fontId="0" fillId="0" borderId="2" xfId="0" applyBorder="1" applyAlignment="1">
      <alignment horizontal="center" vertical="center" wrapText="1"/>
    </xf>
    <xf numFmtId="0" fontId="1" fillId="4" borderId="1" xfId="0" applyFont="1" applyFill="1" applyBorder="1" applyAlignment="1">
      <alignment vertical="center"/>
    </xf>
    <xf numFmtId="0" fontId="1" fillId="4" borderId="4" xfId="0" applyFont="1" applyFill="1" applyBorder="1" applyAlignment="1">
      <alignment vertical="center"/>
    </xf>
    <xf numFmtId="0" fontId="1" fillId="4" borderId="5" xfId="0" applyFont="1" applyFill="1" applyBorder="1" applyAlignment="1">
      <alignment vertical="center"/>
    </xf>
    <xf numFmtId="0" fontId="0" fillId="5" borderId="3" xfId="0" applyFill="1" applyBorder="1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2" fontId="0" fillId="0" borderId="0" xfId="0" applyNumberFormat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/>
    </xf>
    <xf numFmtId="0" fontId="0" fillId="0" borderId="6" xfId="0" applyBorder="1" applyAlignment="1">
      <alignment vertical="center" wrapText="1"/>
    </xf>
    <xf numFmtId="164" fontId="0" fillId="0" borderId="6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1" fontId="0" fillId="0" borderId="6" xfId="0" applyNumberFormat="1" applyBorder="1" applyAlignment="1">
      <alignment vertical="center"/>
    </xf>
    <xf numFmtId="0" fontId="0" fillId="0" borderId="6" xfId="0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145F82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E87331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iit.com/india/course/cybersecurity-with-genai-advanced-progra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6"/>
  <sheetViews>
    <sheetView tabSelected="1" topLeftCell="A163" zoomScaleNormal="100" workbookViewId="0">
      <selection activeCell="D169" sqref="D169"/>
    </sheetView>
  </sheetViews>
  <sheetFormatPr defaultColWidth="8.5703125" defaultRowHeight="15"/>
  <cols>
    <col min="1" max="1" width="17.85546875" customWidth="1"/>
    <col min="2" max="2" width="60.140625" customWidth="1"/>
    <col min="3" max="3" width="11.7109375" customWidth="1"/>
    <col min="4" max="4" width="30.7109375" customWidth="1"/>
  </cols>
  <sheetData>
    <row r="1" spans="1:4" ht="137.25">
      <c r="A1" s="2" t="s">
        <v>0</v>
      </c>
      <c r="B1" s="3" t="s">
        <v>1</v>
      </c>
      <c r="C1" s="4" t="s">
        <v>2</v>
      </c>
      <c r="D1" s="3" t="s">
        <v>3</v>
      </c>
    </row>
    <row r="2" spans="1:4" ht="60.75">
      <c r="A2" s="1" t="s">
        <v>4</v>
      </c>
      <c r="B2" s="5" t="s">
        <v>5</v>
      </c>
      <c r="C2" s="6" t="s">
        <v>6</v>
      </c>
      <c r="D2" s="7" t="s">
        <v>6</v>
      </c>
    </row>
    <row r="3" spans="1:4" ht="91.5">
      <c r="A3" s="1"/>
      <c r="B3" s="5" t="s">
        <v>7</v>
      </c>
      <c r="C3" s="6" t="s">
        <v>6</v>
      </c>
      <c r="D3" s="7" t="s">
        <v>6</v>
      </c>
    </row>
    <row r="4" spans="1:4" ht="76.5">
      <c r="A4" s="1"/>
      <c r="B4" s="5" t="s">
        <v>8</v>
      </c>
      <c r="C4" s="6" t="s">
        <v>6</v>
      </c>
      <c r="D4" s="7" t="s">
        <v>6</v>
      </c>
    </row>
    <row r="5" spans="1:4" ht="76.5">
      <c r="A5" s="1"/>
      <c r="B5" s="5" t="s">
        <v>9</v>
      </c>
      <c r="C5" s="6" t="s">
        <v>6</v>
      </c>
      <c r="D5" s="7" t="s">
        <v>6</v>
      </c>
    </row>
    <row r="6" spans="1:4" ht="45.75">
      <c r="A6" s="1"/>
      <c r="B6" s="5" t="s">
        <v>10</v>
      </c>
      <c r="C6" s="6" t="s">
        <v>6</v>
      </c>
      <c r="D6" s="7" t="s">
        <v>6</v>
      </c>
    </row>
    <row r="7" spans="1:4" ht="76.5">
      <c r="A7" s="1"/>
      <c r="B7" s="5" t="s">
        <v>11</v>
      </c>
      <c r="C7" s="6" t="s">
        <v>6</v>
      </c>
      <c r="D7" s="7" t="s">
        <v>6</v>
      </c>
    </row>
    <row r="8" spans="1:4" ht="60.75">
      <c r="A8" s="1"/>
      <c r="B8" s="5" t="s">
        <v>12</v>
      </c>
      <c r="C8" s="6" t="s">
        <v>6</v>
      </c>
      <c r="D8" s="7" t="s">
        <v>6</v>
      </c>
    </row>
    <row r="9" spans="1:4" ht="45.75">
      <c r="A9" s="1"/>
      <c r="B9" s="5" t="s">
        <v>13</v>
      </c>
      <c r="C9" s="6" t="s">
        <v>6</v>
      </c>
      <c r="D9" s="7" t="s">
        <v>6</v>
      </c>
    </row>
    <row r="10" spans="1:4" ht="60.75">
      <c r="A10" s="1"/>
      <c r="B10" s="5" t="s">
        <v>14</v>
      </c>
      <c r="C10" s="6" t="s">
        <v>6</v>
      </c>
      <c r="D10" s="7" t="s">
        <v>6</v>
      </c>
    </row>
    <row r="11" spans="1:4" ht="45.75">
      <c r="A11" s="1"/>
      <c r="B11" s="5" t="s">
        <v>15</v>
      </c>
      <c r="C11" s="6" t="s">
        <v>6</v>
      </c>
      <c r="D11" s="7" t="s">
        <v>6</v>
      </c>
    </row>
    <row r="12" spans="1:4" ht="60.75">
      <c r="A12" s="1" t="s">
        <v>16</v>
      </c>
      <c r="B12" s="5" t="s">
        <v>17</v>
      </c>
      <c r="C12" s="6" t="s">
        <v>6</v>
      </c>
      <c r="D12" s="7" t="s">
        <v>6</v>
      </c>
    </row>
    <row r="13" spans="1:4" ht="45.75">
      <c r="A13" s="1"/>
      <c r="B13" s="5" t="s">
        <v>18</v>
      </c>
      <c r="C13" s="6" t="s">
        <v>6</v>
      </c>
      <c r="D13" s="7" t="s">
        <v>6</v>
      </c>
    </row>
    <row r="14" spans="1:4" ht="30.75">
      <c r="A14" s="1"/>
      <c r="B14" s="5" t="s">
        <v>19</v>
      </c>
      <c r="C14" s="6" t="s">
        <v>6</v>
      </c>
      <c r="D14" s="7" t="s">
        <v>6</v>
      </c>
    </row>
    <row r="15" spans="1:4" ht="60.75">
      <c r="A15" s="1"/>
      <c r="B15" s="5" t="s">
        <v>20</v>
      </c>
      <c r="C15" s="6" t="s">
        <v>6</v>
      </c>
      <c r="D15" s="7" t="s">
        <v>6</v>
      </c>
    </row>
    <row r="16" spans="1:4" ht="45.75">
      <c r="A16" s="1"/>
      <c r="B16" s="5" t="s">
        <v>21</v>
      </c>
      <c r="C16" s="6" t="s">
        <v>6</v>
      </c>
      <c r="D16" s="7" t="s">
        <v>6</v>
      </c>
    </row>
    <row r="17" spans="1:4" ht="30.75">
      <c r="A17" s="1"/>
      <c r="B17" s="5" t="s">
        <v>22</v>
      </c>
      <c r="C17" s="6" t="s">
        <v>6</v>
      </c>
      <c r="D17" s="7" t="s">
        <v>6</v>
      </c>
    </row>
    <row r="18" spans="1:4" ht="76.5">
      <c r="A18" s="1"/>
      <c r="B18" s="5" t="s">
        <v>23</v>
      </c>
      <c r="C18" s="6" t="s">
        <v>6</v>
      </c>
      <c r="D18" s="7" t="s">
        <v>6</v>
      </c>
    </row>
    <row r="19" spans="1:4" ht="30.75">
      <c r="A19" s="1"/>
      <c r="B19" s="5" t="s">
        <v>24</v>
      </c>
      <c r="C19" s="6" t="s">
        <v>6</v>
      </c>
      <c r="D19" s="7" t="s">
        <v>6</v>
      </c>
    </row>
    <row r="20" spans="1:4" ht="76.5">
      <c r="A20" s="1"/>
      <c r="B20" s="5" t="s">
        <v>25</v>
      </c>
      <c r="C20" s="6" t="s">
        <v>6</v>
      </c>
      <c r="D20" s="7" t="s">
        <v>26</v>
      </c>
    </row>
    <row r="21" spans="1:4" ht="91.5">
      <c r="A21" s="1"/>
      <c r="B21" s="5" t="s">
        <v>27</v>
      </c>
      <c r="C21" s="6" t="s">
        <v>6</v>
      </c>
      <c r="D21" s="7" t="s">
        <v>26</v>
      </c>
    </row>
    <row r="22" spans="1:4" ht="91.5">
      <c r="A22" s="1"/>
      <c r="B22" s="5" t="s">
        <v>28</v>
      </c>
      <c r="C22" s="6" t="s">
        <v>6</v>
      </c>
      <c r="D22" s="7" t="s">
        <v>26</v>
      </c>
    </row>
    <row r="23" spans="1:4" ht="121.5">
      <c r="A23" s="1"/>
      <c r="B23" s="5" t="s">
        <v>29</v>
      </c>
      <c r="C23" s="6" t="s">
        <v>6</v>
      </c>
      <c r="D23" s="7" t="s">
        <v>26</v>
      </c>
    </row>
    <row r="24" spans="1:4" ht="121.5">
      <c r="A24" s="1"/>
      <c r="B24" s="5" t="s">
        <v>30</v>
      </c>
      <c r="C24" s="6" t="s">
        <v>6</v>
      </c>
      <c r="D24" s="7" t="s">
        <v>26</v>
      </c>
    </row>
    <row r="25" spans="1:4" ht="91.5">
      <c r="A25" s="1"/>
      <c r="B25" s="5" t="s">
        <v>31</v>
      </c>
      <c r="C25" s="6" t="s">
        <v>26</v>
      </c>
      <c r="D25" s="7" t="s">
        <v>26</v>
      </c>
    </row>
    <row r="26" spans="1:4" ht="106.5">
      <c r="A26" s="1"/>
      <c r="B26" s="5" t="s">
        <v>32</v>
      </c>
      <c r="C26" s="6" t="s">
        <v>26</v>
      </c>
      <c r="D26" s="7" t="s">
        <v>26</v>
      </c>
    </row>
    <row r="27" spans="1:4" ht="76.5">
      <c r="A27" s="1"/>
      <c r="B27" s="5" t="s">
        <v>33</v>
      </c>
      <c r="C27" s="6" t="s">
        <v>26</v>
      </c>
      <c r="D27" s="7" t="s">
        <v>26</v>
      </c>
    </row>
    <row r="28" spans="1:4" ht="76.5">
      <c r="A28" s="1"/>
      <c r="B28" s="5" t="s">
        <v>34</v>
      </c>
      <c r="C28" s="6" t="s">
        <v>6</v>
      </c>
      <c r="D28" s="7" t="s">
        <v>26</v>
      </c>
    </row>
    <row r="29" spans="1:4" ht="60.75">
      <c r="A29" s="1"/>
      <c r="B29" s="5" t="s">
        <v>35</v>
      </c>
      <c r="C29" s="6" t="s">
        <v>6</v>
      </c>
      <c r="D29" s="7" t="s">
        <v>6</v>
      </c>
    </row>
    <row r="30" spans="1:4" ht="45.75">
      <c r="A30" s="1"/>
      <c r="B30" s="5" t="s">
        <v>36</v>
      </c>
      <c r="C30" s="6" t="s">
        <v>6</v>
      </c>
      <c r="D30" s="7" t="s">
        <v>6</v>
      </c>
    </row>
    <row r="31" spans="1:4" ht="45.75">
      <c r="A31" s="1" t="s">
        <v>37</v>
      </c>
      <c r="B31" s="5" t="s">
        <v>38</v>
      </c>
      <c r="C31" s="6" t="s">
        <v>6</v>
      </c>
      <c r="D31" s="7" t="s">
        <v>6</v>
      </c>
    </row>
    <row r="32" spans="1:4" ht="45.75">
      <c r="A32" s="1"/>
      <c r="B32" s="5" t="s">
        <v>39</v>
      </c>
      <c r="C32" s="6" t="s">
        <v>6</v>
      </c>
      <c r="D32" s="7" t="s">
        <v>6</v>
      </c>
    </row>
    <row r="33" spans="1:4" ht="60.75">
      <c r="A33" s="1"/>
      <c r="B33" s="5" t="s">
        <v>40</v>
      </c>
      <c r="C33" s="6" t="s">
        <v>6</v>
      </c>
      <c r="D33" s="7" t="s">
        <v>6</v>
      </c>
    </row>
    <row r="34" spans="1:4" ht="45.75">
      <c r="A34" s="1"/>
      <c r="B34" s="5" t="s">
        <v>41</v>
      </c>
      <c r="C34" s="6" t="s">
        <v>6</v>
      </c>
      <c r="D34" s="7" t="s">
        <v>6</v>
      </c>
    </row>
    <row r="35" spans="1:4" ht="45.75">
      <c r="A35" s="1"/>
      <c r="B35" s="5" t="s">
        <v>42</v>
      </c>
      <c r="C35" s="6" t="s">
        <v>6</v>
      </c>
      <c r="D35" s="7" t="s">
        <v>6</v>
      </c>
    </row>
    <row r="36" spans="1:4" ht="60.75">
      <c r="A36" s="1"/>
      <c r="B36" s="5" t="s">
        <v>43</v>
      </c>
      <c r="C36" s="6" t="s">
        <v>6</v>
      </c>
      <c r="D36" s="7" t="s">
        <v>6</v>
      </c>
    </row>
    <row r="37" spans="1:4" ht="45.75">
      <c r="A37" s="1"/>
      <c r="B37" s="5" t="s">
        <v>44</v>
      </c>
      <c r="C37" s="6" t="s">
        <v>6</v>
      </c>
      <c r="D37" s="7" t="s">
        <v>6</v>
      </c>
    </row>
    <row r="38" spans="1:4" ht="30.75">
      <c r="A38" s="1"/>
      <c r="B38" s="5" t="s">
        <v>45</v>
      </c>
      <c r="C38" s="6" t="s">
        <v>6</v>
      </c>
      <c r="D38" s="7" t="s">
        <v>6</v>
      </c>
    </row>
    <row r="39" spans="1:4" ht="106.5">
      <c r="A39" s="1"/>
      <c r="B39" s="5" t="s">
        <v>46</v>
      </c>
      <c r="C39" s="6" t="s">
        <v>26</v>
      </c>
      <c r="D39" s="7" t="s">
        <v>26</v>
      </c>
    </row>
    <row r="40" spans="1:4" ht="121.5">
      <c r="A40" s="1"/>
      <c r="B40" s="5" t="s">
        <v>47</v>
      </c>
      <c r="C40" s="6" t="s">
        <v>26</v>
      </c>
      <c r="D40" s="7" t="s">
        <v>26</v>
      </c>
    </row>
    <row r="41" spans="1:4" ht="121.5">
      <c r="A41" s="1"/>
      <c r="B41" s="5" t="s">
        <v>48</v>
      </c>
      <c r="C41" s="6" t="s">
        <v>6</v>
      </c>
      <c r="D41" s="7" t="s">
        <v>26</v>
      </c>
    </row>
    <row r="42" spans="1:4" ht="91.5">
      <c r="A42" s="1"/>
      <c r="B42" s="5" t="s">
        <v>49</v>
      </c>
      <c r="C42" s="6" t="s">
        <v>6</v>
      </c>
      <c r="D42" s="7" t="s">
        <v>26</v>
      </c>
    </row>
    <row r="43" spans="1:4" ht="76.5">
      <c r="A43" s="1"/>
      <c r="B43" s="5" t="s">
        <v>50</v>
      </c>
      <c r="C43" s="6" t="s">
        <v>6</v>
      </c>
      <c r="D43" s="7" t="s">
        <v>26</v>
      </c>
    </row>
    <row r="44" spans="1:4" ht="91.5">
      <c r="A44" s="1"/>
      <c r="B44" s="5" t="s">
        <v>51</v>
      </c>
      <c r="C44" s="6" t="s">
        <v>26</v>
      </c>
      <c r="D44" s="7" t="s">
        <v>26</v>
      </c>
    </row>
    <row r="45" spans="1:4" ht="91.5">
      <c r="A45" s="1"/>
      <c r="B45" s="5" t="s">
        <v>52</v>
      </c>
      <c r="C45" s="6" t="s">
        <v>26</v>
      </c>
      <c r="D45" s="7" t="s">
        <v>26</v>
      </c>
    </row>
    <row r="46" spans="1:4" ht="106.5">
      <c r="A46" s="1"/>
      <c r="B46" s="5" t="s">
        <v>53</v>
      </c>
      <c r="C46" s="6" t="s">
        <v>6</v>
      </c>
      <c r="D46" s="7" t="s">
        <v>26</v>
      </c>
    </row>
    <row r="47" spans="1:4" ht="91.5">
      <c r="A47" s="1"/>
      <c r="B47" s="5" t="s">
        <v>54</v>
      </c>
      <c r="C47" s="6" t="s">
        <v>6</v>
      </c>
      <c r="D47" s="7" t="s">
        <v>6</v>
      </c>
    </row>
    <row r="48" spans="1:4" ht="91.5">
      <c r="A48" s="1"/>
      <c r="B48" s="5" t="s">
        <v>55</v>
      </c>
      <c r="C48" s="6" t="s">
        <v>26</v>
      </c>
      <c r="D48" s="7" t="s">
        <v>26</v>
      </c>
    </row>
    <row r="49" spans="1:4" ht="30.75">
      <c r="A49" s="1"/>
      <c r="B49" s="5" t="s">
        <v>56</v>
      </c>
      <c r="C49" s="6" t="s">
        <v>6</v>
      </c>
      <c r="D49" s="7" t="s">
        <v>6</v>
      </c>
    </row>
    <row r="50" spans="1:4" ht="45.75">
      <c r="A50" s="1"/>
      <c r="B50" s="5" t="s">
        <v>57</v>
      </c>
      <c r="C50" s="6" t="s">
        <v>6</v>
      </c>
      <c r="D50" s="7" t="s">
        <v>6</v>
      </c>
    </row>
    <row r="51" spans="1:4" ht="30.75">
      <c r="A51" s="8" t="s">
        <v>58</v>
      </c>
      <c r="B51" s="5" t="s">
        <v>59</v>
      </c>
      <c r="C51" s="6" t="s">
        <v>6</v>
      </c>
      <c r="D51" s="7" t="s">
        <v>6</v>
      </c>
    </row>
    <row r="52" spans="1:4" ht="60.75">
      <c r="A52" s="9"/>
      <c r="B52" s="5" t="s">
        <v>60</v>
      </c>
      <c r="C52" s="6" t="s">
        <v>6</v>
      </c>
      <c r="D52" s="7" t="s">
        <v>6</v>
      </c>
    </row>
    <row r="53" spans="1:4" ht="30.75">
      <c r="A53" s="9"/>
      <c r="B53" s="5" t="s">
        <v>61</v>
      </c>
      <c r="C53" s="6" t="s">
        <v>6</v>
      </c>
      <c r="D53" s="7" t="s">
        <v>6</v>
      </c>
    </row>
    <row r="54" spans="1:4" ht="30.75">
      <c r="A54" s="9"/>
      <c r="B54" s="5" t="s">
        <v>62</v>
      </c>
      <c r="C54" s="6" t="s">
        <v>6</v>
      </c>
      <c r="D54" s="7" t="s">
        <v>6</v>
      </c>
    </row>
    <row r="55" spans="1:4" ht="106.5">
      <c r="A55" s="9"/>
      <c r="B55" s="5" t="s">
        <v>63</v>
      </c>
      <c r="C55" s="6" t="s">
        <v>6</v>
      </c>
      <c r="D55" s="7" t="s">
        <v>6</v>
      </c>
    </row>
    <row r="56" spans="1:4" ht="30.75">
      <c r="A56" s="9"/>
      <c r="B56" s="5" t="s">
        <v>64</v>
      </c>
      <c r="C56" s="6" t="s">
        <v>6</v>
      </c>
      <c r="D56" s="7" t="s">
        <v>6</v>
      </c>
    </row>
    <row r="57" spans="1:4" ht="106.5">
      <c r="A57" s="9"/>
      <c r="B57" s="5" t="s">
        <v>65</v>
      </c>
      <c r="C57" s="6" t="s">
        <v>6</v>
      </c>
      <c r="D57" s="7" t="s">
        <v>26</v>
      </c>
    </row>
    <row r="58" spans="1:4" ht="106.5">
      <c r="A58" s="9"/>
      <c r="B58" s="5" t="s">
        <v>66</v>
      </c>
      <c r="C58" s="6" t="s">
        <v>6</v>
      </c>
      <c r="D58" s="7" t="s">
        <v>6</v>
      </c>
    </row>
    <row r="59" spans="1:4" ht="76.5">
      <c r="A59" s="9"/>
      <c r="B59" s="5" t="s">
        <v>67</v>
      </c>
      <c r="C59" s="6" t="s">
        <v>6</v>
      </c>
      <c r="D59" s="7" t="s">
        <v>6</v>
      </c>
    </row>
    <row r="60" spans="1:4" ht="106.5">
      <c r="A60" s="9"/>
      <c r="B60" s="5" t="s">
        <v>68</v>
      </c>
      <c r="C60" s="6" t="s">
        <v>6</v>
      </c>
      <c r="D60" s="7" t="s">
        <v>6</v>
      </c>
    </row>
    <row r="61" spans="1:4" ht="106.5">
      <c r="A61" s="9"/>
      <c r="B61" s="5" t="s">
        <v>69</v>
      </c>
      <c r="C61" s="6" t="s">
        <v>6</v>
      </c>
      <c r="D61" s="7" t="s">
        <v>6</v>
      </c>
    </row>
    <row r="62" spans="1:4" ht="91.5">
      <c r="A62" s="9"/>
      <c r="B62" s="5" t="s">
        <v>70</v>
      </c>
      <c r="C62" s="6" t="s">
        <v>6</v>
      </c>
      <c r="D62" s="7" t="s">
        <v>6</v>
      </c>
    </row>
    <row r="63" spans="1:4" ht="91.5">
      <c r="A63" s="9"/>
      <c r="B63" s="5" t="s">
        <v>71</v>
      </c>
      <c r="C63" s="6" t="s">
        <v>6</v>
      </c>
      <c r="D63" s="7" t="s">
        <v>6</v>
      </c>
    </row>
    <row r="64" spans="1:4" ht="106.5">
      <c r="A64" s="9"/>
      <c r="B64" s="5" t="s">
        <v>72</v>
      </c>
      <c r="C64" s="6" t="s">
        <v>6</v>
      </c>
      <c r="D64" s="7" t="s">
        <v>6</v>
      </c>
    </row>
    <row r="65" spans="1:4" ht="45.75">
      <c r="A65" s="9"/>
      <c r="B65" s="5" t="s">
        <v>73</v>
      </c>
      <c r="C65" s="6" t="s">
        <v>6</v>
      </c>
      <c r="D65" s="7" t="s">
        <v>6</v>
      </c>
    </row>
    <row r="66" spans="1:4" ht="45.75">
      <c r="A66" s="9"/>
      <c r="B66" s="5" t="s">
        <v>74</v>
      </c>
      <c r="C66" s="6" t="s">
        <v>6</v>
      </c>
      <c r="D66" s="7" t="s">
        <v>6</v>
      </c>
    </row>
    <row r="67" spans="1:4" ht="30.75">
      <c r="A67" s="9"/>
      <c r="B67" s="5" t="s">
        <v>75</v>
      </c>
      <c r="C67" s="6" t="s">
        <v>6</v>
      </c>
      <c r="D67" s="7" t="s">
        <v>6</v>
      </c>
    </row>
    <row r="68" spans="1:4" ht="60.75">
      <c r="A68" s="10"/>
      <c r="B68" s="5" t="s">
        <v>76</v>
      </c>
      <c r="C68" s="6" t="s">
        <v>6</v>
      </c>
      <c r="D68" s="7" t="s">
        <v>6</v>
      </c>
    </row>
    <row r="69" spans="1:4" ht="45.75">
      <c r="A69" s="1" t="s">
        <v>77</v>
      </c>
      <c r="B69" s="5" t="s">
        <v>78</v>
      </c>
      <c r="C69" s="6" t="s">
        <v>6</v>
      </c>
      <c r="D69" s="7" t="s">
        <v>6</v>
      </c>
    </row>
    <row r="70" spans="1:4" ht="60.75">
      <c r="A70" s="1"/>
      <c r="B70" s="5" t="s">
        <v>79</v>
      </c>
      <c r="C70" s="6" t="s">
        <v>6</v>
      </c>
      <c r="D70" s="7" t="s">
        <v>6</v>
      </c>
    </row>
    <row r="71" spans="1:4" ht="91.5">
      <c r="A71" s="1"/>
      <c r="B71" s="5" t="s">
        <v>80</v>
      </c>
      <c r="C71" s="6" t="s">
        <v>6</v>
      </c>
      <c r="D71" s="7" t="s">
        <v>6</v>
      </c>
    </row>
    <row r="72" spans="1:4" ht="76.5">
      <c r="A72" s="1"/>
      <c r="B72" s="5" t="s">
        <v>81</v>
      </c>
      <c r="C72" s="6" t="s">
        <v>6</v>
      </c>
      <c r="D72" s="7" t="s">
        <v>6</v>
      </c>
    </row>
    <row r="73" spans="1:4" ht="76.5">
      <c r="A73" s="1"/>
      <c r="B73" s="5" t="s">
        <v>82</v>
      </c>
      <c r="C73" s="6" t="s">
        <v>6</v>
      </c>
      <c r="D73" s="7" t="s">
        <v>6</v>
      </c>
    </row>
    <row r="74" spans="1:4" ht="45.75">
      <c r="A74" s="1"/>
      <c r="B74" s="5" t="s">
        <v>83</v>
      </c>
      <c r="C74" s="6" t="s">
        <v>6</v>
      </c>
      <c r="D74" s="7" t="s">
        <v>6</v>
      </c>
    </row>
    <row r="75" spans="1:4" ht="60.75">
      <c r="A75" s="1"/>
      <c r="B75" s="5" t="s">
        <v>84</v>
      </c>
      <c r="C75" s="6" t="s">
        <v>6</v>
      </c>
      <c r="D75" s="7" t="s">
        <v>6</v>
      </c>
    </row>
    <row r="76" spans="1:4" ht="91.5">
      <c r="A76" s="1"/>
      <c r="B76" s="5" t="s">
        <v>85</v>
      </c>
      <c r="C76" s="6" t="s">
        <v>6</v>
      </c>
      <c r="D76" s="7" t="s">
        <v>6</v>
      </c>
    </row>
    <row r="77" spans="1:4" ht="91.5">
      <c r="A77" s="1"/>
      <c r="B77" s="5" t="s">
        <v>86</v>
      </c>
      <c r="C77" s="6" t="s">
        <v>6</v>
      </c>
      <c r="D77" s="7" t="s">
        <v>6</v>
      </c>
    </row>
    <row r="78" spans="1:4" ht="121.5">
      <c r="A78" s="1"/>
      <c r="B78" s="5" t="s">
        <v>87</v>
      </c>
      <c r="C78" s="6" t="s">
        <v>26</v>
      </c>
      <c r="D78" s="7" t="s">
        <v>26</v>
      </c>
    </row>
    <row r="79" spans="1:4" ht="91.5">
      <c r="A79" s="1"/>
      <c r="B79" s="5" t="s">
        <v>88</v>
      </c>
      <c r="C79" s="6" t="s">
        <v>6</v>
      </c>
      <c r="D79" s="7" t="s">
        <v>6</v>
      </c>
    </row>
    <row r="80" spans="1:4" ht="106.5">
      <c r="A80" s="1"/>
      <c r="B80" s="5" t="s">
        <v>89</v>
      </c>
      <c r="C80" s="6" t="s">
        <v>6</v>
      </c>
      <c r="D80" s="7" t="s">
        <v>6</v>
      </c>
    </row>
    <row r="81" spans="1:4" ht="106.5">
      <c r="A81" s="1"/>
      <c r="B81" s="5" t="s">
        <v>90</v>
      </c>
      <c r="C81" s="6" t="s">
        <v>6</v>
      </c>
      <c r="D81" s="7" t="s">
        <v>6</v>
      </c>
    </row>
    <row r="82" spans="1:4" ht="91.5">
      <c r="A82" s="1"/>
      <c r="B82" s="5" t="s">
        <v>91</v>
      </c>
      <c r="C82" s="6" t="s">
        <v>6</v>
      </c>
      <c r="D82" s="7" t="s">
        <v>6</v>
      </c>
    </row>
    <row r="83" spans="1:4" ht="106.5">
      <c r="A83" s="1"/>
      <c r="B83" s="5" t="s">
        <v>92</v>
      </c>
      <c r="C83" s="6" t="s">
        <v>6</v>
      </c>
      <c r="D83" s="7" t="s">
        <v>6</v>
      </c>
    </row>
    <row r="84" spans="1:4" ht="91.5">
      <c r="A84" s="1"/>
      <c r="B84" s="5" t="s">
        <v>93</v>
      </c>
      <c r="C84" s="6" t="s">
        <v>6</v>
      </c>
      <c r="D84" s="7" t="s">
        <v>6</v>
      </c>
    </row>
    <row r="85" spans="1:4" ht="76.5">
      <c r="A85" s="1"/>
      <c r="B85" s="5" t="s">
        <v>94</v>
      </c>
      <c r="C85" s="6" t="s">
        <v>6</v>
      </c>
      <c r="D85" s="7" t="s">
        <v>26</v>
      </c>
    </row>
    <row r="86" spans="1:4" ht="30.75">
      <c r="A86" s="1"/>
      <c r="B86" s="5" t="s">
        <v>95</v>
      </c>
      <c r="C86" s="6" t="s">
        <v>6</v>
      </c>
      <c r="D86" s="7" t="s">
        <v>6</v>
      </c>
    </row>
    <row r="87" spans="1:4" ht="60.75">
      <c r="A87" s="1"/>
      <c r="B87" s="5" t="s">
        <v>96</v>
      </c>
      <c r="C87" s="6" t="s">
        <v>6</v>
      </c>
      <c r="D87" s="7" t="s">
        <v>6</v>
      </c>
    </row>
    <row r="88" spans="1:4" ht="60.75">
      <c r="A88" s="1"/>
      <c r="B88" s="5" t="s">
        <v>97</v>
      </c>
      <c r="C88" s="6" t="s">
        <v>6</v>
      </c>
      <c r="D88" s="7" t="s">
        <v>6</v>
      </c>
    </row>
    <row r="89" spans="1:4" ht="60.75">
      <c r="A89" s="1" t="s">
        <v>98</v>
      </c>
      <c r="B89" s="5" t="s">
        <v>99</v>
      </c>
      <c r="C89" s="6" t="s">
        <v>6</v>
      </c>
      <c r="D89" s="7" t="s">
        <v>6</v>
      </c>
    </row>
    <row r="90" spans="1:4" ht="91.5">
      <c r="A90" s="1"/>
      <c r="B90" s="5" t="s">
        <v>100</v>
      </c>
      <c r="C90" s="6" t="s">
        <v>6</v>
      </c>
      <c r="D90" s="7" t="s">
        <v>6</v>
      </c>
    </row>
    <row r="91" spans="1:4" ht="91.5">
      <c r="A91" s="1"/>
      <c r="B91" s="5" t="s">
        <v>101</v>
      </c>
      <c r="C91" s="6" t="s">
        <v>6</v>
      </c>
      <c r="D91" s="7" t="s">
        <v>6</v>
      </c>
    </row>
    <row r="92" spans="1:4" ht="30.75">
      <c r="A92" s="1"/>
      <c r="B92" s="5" t="s">
        <v>102</v>
      </c>
      <c r="C92" s="6" t="s">
        <v>6</v>
      </c>
      <c r="D92" s="7" t="s">
        <v>6</v>
      </c>
    </row>
    <row r="93" spans="1:4" ht="30.75">
      <c r="A93" s="1"/>
      <c r="B93" s="5" t="s">
        <v>103</v>
      </c>
      <c r="C93" s="6" t="s">
        <v>6</v>
      </c>
      <c r="D93" s="7" t="s">
        <v>6</v>
      </c>
    </row>
    <row r="94" spans="1:4" ht="106.5">
      <c r="A94" s="1"/>
      <c r="B94" s="5" t="s">
        <v>104</v>
      </c>
      <c r="C94" s="6" t="s">
        <v>6</v>
      </c>
      <c r="D94" s="7" t="s">
        <v>6</v>
      </c>
    </row>
    <row r="95" spans="1:4" ht="106.5">
      <c r="A95" s="1"/>
      <c r="B95" s="5" t="s">
        <v>105</v>
      </c>
      <c r="C95" s="6" t="s">
        <v>6</v>
      </c>
      <c r="D95" s="7" t="s">
        <v>6</v>
      </c>
    </row>
    <row r="96" spans="1:4" ht="91.5">
      <c r="A96" s="1"/>
      <c r="B96" s="5" t="s">
        <v>106</v>
      </c>
      <c r="C96" s="6" t="s">
        <v>6</v>
      </c>
      <c r="D96" s="7" t="s">
        <v>6</v>
      </c>
    </row>
    <row r="97" spans="1:4" ht="106.5">
      <c r="A97" s="1"/>
      <c r="B97" s="5" t="s">
        <v>107</v>
      </c>
      <c r="C97" s="6" t="s">
        <v>6</v>
      </c>
      <c r="D97" s="7" t="s">
        <v>6</v>
      </c>
    </row>
    <row r="98" spans="1:4" ht="106.5">
      <c r="A98" s="1"/>
      <c r="B98" s="5" t="s">
        <v>108</v>
      </c>
      <c r="C98" s="6" t="s">
        <v>6</v>
      </c>
      <c r="D98" s="7" t="s">
        <v>26</v>
      </c>
    </row>
    <row r="99" spans="1:4" ht="45.75">
      <c r="A99" s="1"/>
      <c r="B99" s="5" t="s">
        <v>109</v>
      </c>
      <c r="C99" s="6" t="s">
        <v>6</v>
      </c>
      <c r="D99" s="7" t="s">
        <v>6</v>
      </c>
    </row>
    <row r="100" spans="1:4" ht="76.5">
      <c r="A100" s="1"/>
      <c r="B100" s="5" t="s">
        <v>110</v>
      </c>
      <c r="C100" s="6" t="s">
        <v>6</v>
      </c>
      <c r="D100" s="7" t="s">
        <v>6</v>
      </c>
    </row>
    <row r="101" spans="1:4" ht="45.75">
      <c r="A101" s="1"/>
      <c r="B101" s="5" t="s">
        <v>111</v>
      </c>
      <c r="C101" s="6" t="s">
        <v>6</v>
      </c>
      <c r="D101" s="7" t="s">
        <v>6</v>
      </c>
    </row>
    <row r="102" spans="1:4" ht="60.75">
      <c r="A102" s="1"/>
      <c r="B102" s="5" t="s">
        <v>112</v>
      </c>
      <c r="C102" s="6" t="s">
        <v>6</v>
      </c>
      <c r="D102" s="7" t="s">
        <v>6</v>
      </c>
    </row>
    <row r="103" spans="1:4" ht="45.75">
      <c r="A103" s="1"/>
      <c r="B103" s="5" t="s">
        <v>113</v>
      </c>
      <c r="C103" s="6" t="s">
        <v>6</v>
      </c>
      <c r="D103" s="7" t="s">
        <v>6</v>
      </c>
    </row>
    <row r="104" spans="1:4" ht="91.5">
      <c r="A104" s="1" t="s">
        <v>114</v>
      </c>
      <c r="B104" s="5" t="s">
        <v>115</v>
      </c>
      <c r="C104" s="6" t="s">
        <v>6</v>
      </c>
      <c r="D104" s="7" t="s">
        <v>6</v>
      </c>
    </row>
    <row r="105" spans="1:4" ht="45.75">
      <c r="A105" s="1"/>
      <c r="B105" s="5" t="s">
        <v>116</v>
      </c>
      <c r="C105" s="6" t="s">
        <v>6</v>
      </c>
      <c r="D105" s="7" t="s">
        <v>6</v>
      </c>
    </row>
    <row r="106" spans="1:4" ht="106.5">
      <c r="A106" s="1"/>
      <c r="B106" s="5" t="s">
        <v>117</v>
      </c>
      <c r="C106" s="6" t="s">
        <v>6</v>
      </c>
      <c r="D106" s="7" t="s">
        <v>6</v>
      </c>
    </row>
    <row r="107" spans="1:4" ht="91.5">
      <c r="A107" s="1"/>
      <c r="B107" s="5" t="s">
        <v>118</v>
      </c>
      <c r="C107" s="6" t="s">
        <v>6</v>
      </c>
      <c r="D107" s="7" t="s">
        <v>6</v>
      </c>
    </row>
    <row r="108" spans="1:4" ht="121.5">
      <c r="A108" s="1"/>
      <c r="B108" s="5" t="s">
        <v>119</v>
      </c>
      <c r="C108" s="6" t="s">
        <v>6</v>
      </c>
      <c r="D108" s="7" t="s">
        <v>6</v>
      </c>
    </row>
    <row r="109" spans="1:4" ht="106.5">
      <c r="A109" s="1"/>
      <c r="B109" s="5" t="s">
        <v>120</v>
      </c>
      <c r="C109" s="6" t="s">
        <v>6</v>
      </c>
      <c r="D109" s="7" t="s">
        <v>6</v>
      </c>
    </row>
    <row r="110" spans="1:4" ht="106.5">
      <c r="A110" s="1"/>
      <c r="B110" s="5" t="s">
        <v>121</v>
      </c>
      <c r="C110" s="6" t="s">
        <v>6</v>
      </c>
      <c r="D110" s="7" t="s">
        <v>6</v>
      </c>
    </row>
    <row r="111" spans="1:4" ht="91.5">
      <c r="A111" s="1"/>
      <c r="B111" s="5" t="s">
        <v>122</v>
      </c>
      <c r="C111" s="6" t="s">
        <v>6</v>
      </c>
      <c r="D111" s="7" t="s">
        <v>6</v>
      </c>
    </row>
    <row r="112" spans="1:4" ht="106.5">
      <c r="A112" s="1"/>
      <c r="B112" s="5" t="s">
        <v>123</v>
      </c>
      <c r="C112" s="6" t="s">
        <v>6</v>
      </c>
      <c r="D112" s="7" t="s">
        <v>6</v>
      </c>
    </row>
    <row r="113" spans="1:4" ht="30.75">
      <c r="A113" s="1"/>
      <c r="B113" s="5" t="s">
        <v>124</v>
      </c>
      <c r="C113" s="6" t="s">
        <v>6</v>
      </c>
      <c r="D113" s="7" t="s">
        <v>6</v>
      </c>
    </row>
    <row r="114" spans="1:4" ht="60.75">
      <c r="A114" s="1"/>
      <c r="B114" s="5" t="s">
        <v>125</v>
      </c>
      <c r="C114" s="6" t="s">
        <v>6</v>
      </c>
      <c r="D114" s="7" t="s">
        <v>6</v>
      </c>
    </row>
    <row r="115" spans="1:4" ht="30.75">
      <c r="A115" s="1"/>
      <c r="B115" s="5" t="s">
        <v>126</v>
      </c>
      <c r="C115" s="6" t="s">
        <v>6</v>
      </c>
      <c r="D115" s="7" t="s">
        <v>6</v>
      </c>
    </row>
    <row r="116" spans="1:4" ht="30.75">
      <c r="A116" s="1"/>
      <c r="B116" s="5" t="s">
        <v>127</v>
      </c>
      <c r="C116" s="6" t="s">
        <v>6</v>
      </c>
      <c r="D116" s="7" t="s">
        <v>6</v>
      </c>
    </row>
    <row r="117" spans="1:4" ht="60.75">
      <c r="A117" s="1"/>
      <c r="B117" s="5" t="s">
        <v>128</v>
      </c>
      <c r="C117" s="6" t="s">
        <v>6</v>
      </c>
      <c r="D117" s="7" t="s">
        <v>6</v>
      </c>
    </row>
    <row r="118" spans="1:4" ht="30.75">
      <c r="A118" s="1"/>
      <c r="B118" s="5" t="s">
        <v>129</v>
      </c>
      <c r="C118" s="6" t="s">
        <v>6</v>
      </c>
      <c r="D118" s="7" t="s">
        <v>6</v>
      </c>
    </row>
    <row r="119" spans="1:4" ht="45.75">
      <c r="A119" s="1"/>
      <c r="B119" s="5" t="s">
        <v>130</v>
      </c>
      <c r="C119" s="6" t="s">
        <v>6</v>
      </c>
      <c r="D119" s="7" t="s">
        <v>6</v>
      </c>
    </row>
    <row r="120" spans="1:4" ht="76.5">
      <c r="A120" s="1"/>
      <c r="B120" s="5" t="s">
        <v>131</v>
      </c>
      <c r="C120" s="6" t="s">
        <v>6</v>
      </c>
      <c r="D120" s="7" t="s">
        <v>6</v>
      </c>
    </row>
    <row r="121" spans="1:4" ht="152.25">
      <c r="A121" s="1" t="s">
        <v>132</v>
      </c>
      <c r="B121" s="5" t="s">
        <v>133</v>
      </c>
      <c r="C121" s="6" t="s">
        <v>6</v>
      </c>
      <c r="D121" s="7" t="s">
        <v>6</v>
      </c>
    </row>
    <row r="122" spans="1:4" ht="106.5">
      <c r="A122" s="1"/>
      <c r="B122" s="5" t="s">
        <v>134</v>
      </c>
      <c r="C122" s="6" t="s">
        <v>6</v>
      </c>
      <c r="D122" s="7" t="s">
        <v>6</v>
      </c>
    </row>
    <row r="123" spans="1:4" ht="121.5">
      <c r="A123" s="1"/>
      <c r="B123" s="5" t="s">
        <v>135</v>
      </c>
      <c r="C123" s="6" t="s">
        <v>6</v>
      </c>
      <c r="D123" s="7" t="s">
        <v>6</v>
      </c>
    </row>
    <row r="124" spans="1:4" ht="106.5">
      <c r="A124" s="1"/>
      <c r="B124" s="5" t="s">
        <v>136</v>
      </c>
      <c r="C124" s="6" t="s">
        <v>6</v>
      </c>
      <c r="D124" s="7" t="s">
        <v>6</v>
      </c>
    </row>
    <row r="125" spans="1:4" ht="91.5">
      <c r="A125" s="1"/>
      <c r="B125" s="5" t="s">
        <v>137</v>
      </c>
      <c r="C125" s="6" t="s">
        <v>6</v>
      </c>
      <c r="D125" s="7" t="s">
        <v>6</v>
      </c>
    </row>
    <row r="126" spans="1:4" ht="121.5">
      <c r="A126" s="1"/>
      <c r="B126" s="5" t="s">
        <v>138</v>
      </c>
      <c r="C126" s="6" t="s">
        <v>6</v>
      </c>
      <c r="D126" s="7" t="s">
        <v>6</v>
      </c>
    </row>
    <row r="127" spans="1:4" ht="106.5">
      <c r="A127" s="1"/>
      <c r="B127" s="5" t="s">
        <v>139</v>
      </c>
      <c r="C127" s="6" t="s">
        <v>6</v>
      </c>
      <c r="D127" s="7" t="s">
        <v>6</v>
      </c>
    </row>
    <row r="128" spans="1:4" ht="106.5">
      <c r="A128" s="1"/>
      <c r="B128" s="5" t="s">
        <v>140</v>
      </c>
      <c r="C128" s="6" t="s">
        <v>6</v>
      </c>
      <c r="D128" s="7" t="s">
        <v>6</v>
      </c>
    </row>
    <row r="129" spans="1:4" ht="106.5">
      <c r="A129" s="1"/>
      <c r="B129" s="5" t="s">
        <v>141</v>
      </c>
      <c r="C129" s="6" t="s">
        <v>6</v>
      </c>
      <c r="D129" s="7" t="s">
        <v>142</v>
      </c>
    </row>
    <row r="130" spans="1:4" ht="106.5">
      <c r="A130" s="1"/>
      <c r="B130" s="5" t="s">
        <v>143</v>
      </c>
      <c r="C130" s="6" t="s">
        <v>6</v>
      </c>
      <c r="D130" s="7" t="s">
        <v>6</v>
      </c>
    </row>
    <row r="131" spans="1:4" ht="137.25">
      <c r="A131" s="1"/>
      <c r="B131" s="5" t="s">
        <v>144</v>
      </c>
      <c r="C131" s="6" t="s">
        <v>6</v>
      </c>
      <c r="D131" s="7" t="s">
        <v>6</v>
      </c>
    </row>
    <row r="132" spans="1:4" ht="137.25">
      <c r="A132" s="1"/>
      <c r="B132" s="5" t="s">
        <v>145</v>
      </c>
      <c r="C132" s="6" t="s">
        <v>6</v>
      </c>
      <c r="D132" s="7" t="s">
        <v>26</v>
      </c>
    </row>
    <row r="133" spans="1:4" ht="121.5">
      <c r="A133" s="1"/>
      <c r="B133" s="5" t="s">
        <v>146</v>
      </c>
      <c r="C133" s="6" t="s">
        <v>6</v>
      </c>
      <c r="D133" s="7" t="s">
        <v>6</v>
      </c>
    </row>
    <row r="134" spans="1:4" ht="121.5">
      <c r="A134" s="1"/>
      <c r="B134" s="5" t="s">
        <v>147</v>
      </c>
      <c r="C134" s="6" t="s">
        <v>6</v>
      </c>
      <c r="D134" s="7" t="s">
        <v>6</v>
      </c>
    </row>
    <row r="135" spans="1:4" ht="106.5">
      <c r="A135" s="1" t="s">
        <v>148</v>
      </c>
      <c r="B135" s="5" t="s">
        <v>149</v>
      </c>
      <c r="C135" s="6" t="s">
        <v>6</v>
      </c>
      <c r="D135" s="7" t="s">
        <v>6</v>
      </c>
    </row>
    <row r="136" spans="1:4" ht="121.5">
      <c r="A136" s="1"/>
      <c r="B136" s="5" t="s">
        <v>150</v>
      </c>
      <c r="C136" s="6" t="s">
        <v>6</v>
      </c>
      <c r="D136" s="7" t="s">
        <v>6</v>
      </c>
    </row>
    <row r="137" spans="1:4" ht="45.75">
      <c r="A137" s="1"/>
      <c r="B137" s="5" t="s">
        <v>151</v>
      </c>
      <c r="C137" s="6" t="s">
        <v>6</v>
      </c>
      <c r="D137" s="7" t="s">
        <v>6</v>
      </c>
    </row>
    <row r="138" spans="1:4" ht="121.5">
      <c r="A138" s="1"/>
      <c r="B138" s="5" t="s">
        <v>152</v>
      </c>
      <c r="C138" s="6" t="s">
        <v>6</v>
      </c>
      <c r="D138" s="7" t="s">
        <v>26</v>
      </c>
    </row>
    <row r="139" spans="1:4" ht="106.5">
      <c r="A139" s="1"/>
      <c r="B139" s="5" t="s">
        <v>153</v>
      </c>
      <c r="C139" s="6" t="s">
        <v>6</v>
      </c>
      <c r="D139" s="7" t="s">
        <v>26</v>
      </c>
    </row>
    <row r="140" spans="1:4" ht="106.5">
      <c r="A140" s="1"/>
      <c r="B140" s="5" t="s">
        <v>154</v>
      </c>
      <c r="C140" s="6" t="s">
        <v>6</v>
      </c>
      <c r="D140" s="7" t="s">
        <v>6</v>
      </c>
    </row>
    <row r="141" spans="1:4" ht="91.5">
      <c r="A141" s="1"/>
      <c r="B141" s="5" t="s">
        <v>155</v>
      </c>
      <c r="C141" s="6" t="s">
        <v>6</v>
      </c>
      <c r="D141" s="7" t="s">
        <v>26</v>
      </c>
    </row>
    <row r="142" spans="1:4" ht="106.5">
      <c r="A142" s="1"/>
      <c r="B142" s="5" t="s">
        <v>156</v>
      </c>
      <c r="C142" s="6" t="s">
        <v>6</v>
      </c>
      <c r="D142" s="7" t="s">
        <v>26</v>
      </c>
    </row>
    <row r="143" spans="1:4" ht="137.25">
      <c r="A143" s="1"/>
      <c r="B143" s="5" t="s">
        <v>157</v>
      </c>
      <c r="C143" s="6" t="s">
        <v>6</v>
      </c>
      <c r="D143" s="7" t="s">
        <v>6</v>
      </c>
    </row>
    <row r="144" spans="1:4" ht="137.25">
      <c r="A144" s="1"/>
      <c r="B144" s="5" t="s">
        <v>158</v>
      </c>
      <c r="C144" s="6" t="s">
        <v>6</v>
      </c>
      <c r="D144" s="7" t="s">
        <v>6</v>
      </c>
    </row>
    <row r="145" spans="1:4" ht="137.25">
      <c r="A145" s="1"/>
      <c r="B145" s="5" t="s">
        <v>159</v>
      </c>
      <c r="C145" s="6" t="s">
        <v>6</v>
      </c>
      <c r="D145" s="7" t="s">
        <v>6</v>
      </c>
    </row>
    <row r="146" spans="1:4" ht="121.5">
      <c r="A146" s="1"/>
      <c r="B146" s="5" t="s">
        <v>160</v>
      </c>
      <c r="C146" s="6" t="s">
        <v>6</v>
      </c>
      <c r="D146" s="7" t="s">
        <v>6</v>
      </c>
    </row>
    <row r="147" spans="1:4" ht="213">
      <c r="A147" s="1"/>
      <c r="B147" s="5" t="s">
        <v>161</v>
      </c>
      <c r="C147" s="6" t="s">
        <v>6</v>
      </c>
      <c r="D147" s="7" t="s">
        <v>6</v>
      </c>
    </row>
    <row r="148" spans="1:4" ht="167.25">
      <c r="A148" s="1"/>
      <c r="B148" s="5" t="s">
        <v>162</v>
      </c>
      <c r="C148" s="6" t="s">
        <v>6</v>
      </c>
      <c r="D148" s="7" t="s">
        <v>6</v>
      </c>
    </row>
    <row r="149" spans="1:4" ht="106.5">
      <c r="A149" s="1" t="s">
        <v>163</v>
      </c>
      <c r="B149" s="11" t="s">
        <v>164</v>
      </c>
      <c r="C149" s="6" t="s">
        <v>6</v>
      </c>
      <c r="D149" s="7" t="s">
        <v>6</v>
      </c>
    </row>
    <row r="150" spans="1:4" ht="121.5">
      <c r="A150" s="1"/>
      <c r="B150" s="5" t="s">
        <v>165</v>
      </c>
      <c r="C150" s="6" t="s">
        <v>6</v>
      </c>
      <c r="D150" s="7" t="s">
        <v>6</v>
      </c>
    </row>
    <row r="151" spans="1:4" ht="106.5">
      <c r="A151" s="1"/>
      <c r="B151" s="5" t="s">
        <v>166</v>
      </c>
      <c r="C151" s="6" t="s">
        <v>6</v>
      </c>
      <c r="D151" s="7" t="s">
        <v>6</v>
      </c>
    </row>
    <row r="152" spans="1:4" ht="91.5">
      <c r="A152" s="1"/>
      <c r="B152" s="5" t="s">
        <v>167</v>
      </c>
      <c r="C152" s="6" t="s">
        <v>6</v>
      </c>
      <c r="D152" s="7" t="s">
        <v>6</v>
      </c>
    </row>
    <row r="153" spans="1:4" ht="106.5">
      <c r="A153" s="1"/>
      <c r="B153" s="5" t="s">
        <v>168</v>
      </c>
      <c r="C153" s="6" t="s">
        <v>6</v>
      </c>
      <c r="D153" s="7" t="s">
        <v>6</v>
      </c>
    </row>
    <row r="154" spans="1:4" ht="106.5">
      <c r="A154" s="1"/>
      <c r="B154" s="5" t="s">
        <v>169</v>
      </c>
      <c r="C154" s="6" t="s">
        <v>6</v>
      </c>
      <c r="D154" s="7" t="s">
        <v>26</v>
      </c>
    </row>
    <row r="155" spans="1:4" ht="91.5">
      <c r="A155" s="1"/>
      <c r="B155" s="5" t="s">
        <v>170</v>
      </c>
      <c r="C155" s="6" t="s">
        <v>6</v>
      </c>
      <c r="D155" s="7" t="s">
        <v>26</v>
      </c>
    </row>
    <row r="156" spans="1:4" ht="76.5">
      <c r="A156" s="1"/>
      <c r="B156" s="5" t="s">
        <v>171</v>
      </c>
      <c r="C156" s="6" t="s">
        <v>6</v>
      </c>
      <c r="D156" s="7" t="s">
        <v>26</v>
      </c>
    </row>
    <row r="157" spans="1:4" ht="106.5">
      <c r="A157" s="1"/>
      <c r="B157" s="5" t="s">
        <v>172</v>
      </c>
      <c r="C157" s="6" t="s">
        <v>6</v>
      </c>
      <c r="D157" s="7" t="s">
        <v>6</v>
      </c>
    </row>
    <row r="158" spans="1:4" ht="106.5">
      <c r="A158" s="1"/>
      <c r="B158" s="5" t="s">
        <v>173</v>
      </c>
      <c r="C158" s="6" t="s">
        <v>6</v>
      </c>
      <c r="D158" s="7" t="s">
        <v>6</v>
      </c>
    </row>
    <row r="159" spans="1:4" ht="91.5">
      <c r="A159" s="1"/>
      <c r="B159" s="5" t="s">
        <v>174</v>
      </c>
      <c r="C159" s="6" t="s">
        <v>6</v>
      </c>
      <c r="D159" s="7" t="s">
        <v>6</v>
      </c>
    </row>
    <row r="160" spans="1:4" ht="91.5">
      <c r="A160" s="1"/>
      <c r="B160" s="5" t="s">
        <v>175</v>
      </c>
      <c r="C160" s="6" t="s">
        <v>6</v>
      </c>
      <c r="D160" s="7" t="s">
        <v>6</v>
      </c>
    </row>
    <row r="161" spans="1:4" ht="60.75">
      <c r="A161" s="1"/>
      <c r="B161" s="5" t="s">
        <v>176</v>
      </c>
      <c r="C161" s="6" t="s">
        <v>6</v>
      </c>
      <c r="D161" s="7" t="s">
        <v>6</v>
      </c>
    </row>
    <row r="162" spans="1:4" ht="91.5">
      <c r="A162" s="1"/>
      <c r="B162" s="5" t="s">
        <v>177</v>
      </c>
      <c r="C162" s="6" t="s">
        <v>6</v>
      </c>
      <c r="D162" s="7" t="s">
        <v>6</v>
      </c>
    </row>
    <row r="163" spans="1:4">
      <c r="A163" s="1"/>
      <c r="B163" s="11" t="s">
        <v>178</v>
      </c>
      <c r="C163" s="6" t="s">
        <v>6</v>
      </c>
      <c r="D163" s="7" t="s">
        <v>6</v>
      </c>
    </row>
    <row r="164" spans="1:4">
      <c r="B164" t="s">
        <v>179</v>
      </c>
      <c r="D164" s="12"/>
    </row>
    <row r="165" spans="1:4">
      <c r="D165" s="12"/>
    </row>
    <row r="166" spans="1:4" ht="14.85">
      <c r="B166" s="13" t="s">
        <v>180</v>
      </c>
      <c r="D166" s="12">
        <f>COUNTIFS(C:C, "Yes", D:D, "Yes")</f>
        <v>131</v>
      </c>
    </row>
    <row r="167" spans="1:4" ht="14.85">
      <c r="B167" s="13" t="s">
        <v>181</v>
      </c>
      <c r="D167" s="12">
        <f>COUNTIFS(C:C, "Yes", D:D, "No")</f>
        <v>22</v>
      </c>
    </row>
    <row r="168" spans="1:4" ht="14.85">
      <c r="B168" s="13" t="s">
        <v>182</v>
      </c>
      <c r="D168" s="14">
        <f>COUNTIFS(C:C, "No", D:D, "Yes")</f>
        <v>0</v>
      </c>
    </row>
    <row r="169" spans="1:4" ht="14.85">
      <c r="B169" s="13" t="s">
        <v>183</v>
      </c>
      <c r="D169" s="14">
        <f>COUNTIFS(C:C, "No", D:D, "No")</f>
        <v>9</v>
      </c>
    </row>
    <row r="170" spans="1:4">
      <c r="D170" s="12"/>
    </row>
    <row r="171" spans="1:4" ht="14.85">
      <c r="B171" s="13" t="s">
        <v>184</v>
      </c>
      <c r="D171" s="12">
        <f>(D166/B174)*100</f>
        <v>85.620915032679733</v>
      </c>
    </row>
    <row r="172" spans="1:4" ht="14.85">
      <c r="B172" s="13" t="s">
        <v>185</v>
      </c>
      <c r="D172" s="12">
        <f>(D168/B175)*100</f>
        <v>0</v>
      </c>
    </row>
    <row r="173" spans="1:4" ht="13.9">
      <c r="D173" s="12"/>
    </row>
    <row r="174" spans="1:4" ht="13.9">
      <c r="A174" t="s">
        <v>186</v>
      </c>
      <c r="B174">
        <f>COUNTIFS(C:C, "Yes")</f>
        <v>153</v>
      </c>
      <c r="D174" s="12"/>
    </row>
    <row r="175" spans="1:4">
      <c r="A175" t="s">
        <v>187</v>
      </c>
      <c r="B175">
        <f>COUNTIFS(C:C, "No")</f>
        <v>9</v>
      </c>
      <c r="D175" s="12"/>
    </row>
    <row r="176" spans="1:4">
      <c r="D176" s="12"/>
    </row>
  </sheetData>
  <mergeCells count="9">
    <mergeCell ref="A104:A120"/>
    <mergeCell ref="A121:A134"/>
    <mergeCell ref="A135:A148"/>
    <mergeCell ref="A149:A163"/>
    <mergeCell ref="A2:A11"/>
    <mergeCell ref="A12:A30"/>
    <mergeCell ref="A31:A50"/>
    <mergeCell ref="A69:A88"/>
    <mergeCell ref="A89:A103"/>
  </mergeCells>
  <conditionalFormatting sqref="D2:D170">
    <cfRule type="containsText" dxfId="1" priority="2" operator="containsText" text="No">
      <formula>NOT(ISERROR(SEARCH("No",D2)))</formula>
    </cfRule>
    <cfRule type="containsText" dxfId="0" priority="3" operator="containsText" text="Yes">
      <formula>NOT(ISERROR(SEARCH("Yes",D2)))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"/>
  <sheetViews>
    <sheetView zoomScaleNormal="100" workbookViewId="0">
      <selection activeCell="E2" sqref="E2"/>
    </sheetView>
  </sheetViews>
  <sheetFormatPr defaultColWidth="8.5703125" defaultRowHeight="15"/>
  <cols>
    <col min="1" max="1" width="17.28515625" customWidth="1"/>
    <col min="2" max="2" width="19.5703125" customWidth="1"/>
    <col min="3" max="3" width="18.7109375" customWidth="1"/>
    <col min="4" max="4" width="17.140625" customWidth="1"/>
    <col min="5" max="5" width="18.85546875" customWidth="1"/>
    <col min="6" max="6" width="19.42578125" style="13" customWidth="1"/>
    <col min="7" max="7" width="22.42578125" customWidth="1"/>
    <col min="8" max="8" width="20.28515625" customWidth="1"/>
    <col min="9" max="9" width="21.7109375" customWidth="1"/>
  </cols>
  <sheetData>
    <row r="1" spans="1:10" ht="16.5">
      <c r="A1" s="15" t="s">
        <v>188</v>
      </c>
      <c r="B1" s="16" t="s">
        <v>189</v>
      </c>
      <c r="C1" s="16" t="s">
        <v>190</v>
      </c>
      <c r="D1" s="16" t="s">
        <v>191</v>
      </c>
      <c r="E1" s="16" t="s">
        <v>192</v>
      </c>
      <c r="F1" s="17" t="s">
        <v>193</v>
      </c>
      <c r="G1" s="16" t="s">
        <v>194</v>
      </c>
      <c r="H1" s="16" t="s">
        <v>195</v>
      </c>
      <c r="I1" s="16" t="s">
        <v>196</v>
      </c>
      <c r="J1" s="16" t="s">
        <v>197</v>
      </c>
    </row>
    <row r="2" spans="1:10" ht="409.5">
      <c r="A2" s="18" t="s">
        <v>198</v>
      </c>
      <c r="B2" s="19" t="s">
        <v>199</v>
      </c>
      <c r="C2" s="20" t="s">
        <v>200</v>
      </c>
      <c r="D2" s="21" t="s">
        <v>201</v>
      </c>
      <c r="E2" s="22"/>
      <c r="F2" s="21" t="s">
        <v>202</v>
      </c>
      <c r="G2" s="23" t="s">
        <v>203</v>
      </c>
      <c r="H2" s="19" t="s">
        <v>204</v>
      </c>
      <c r="I2" s="24" t="s">
        <v>205</v>
      </c>
      <c r="J2" s="19" t="s">
        <v>206</v>
      </c>
    </row>
  </sheetData>
  <hyperlinks>
    <hyperlink ref="I2" r:id="rId1" xr:uid="{00000000-0004-0000-0100-000000000000}"/>
  </hyperlink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2026-02-13T09:13:44Z</dcterms:created>
  <dcterms:modified xsi:type="dcterms:W3CDTF">2026-02-13T11:15:23Z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