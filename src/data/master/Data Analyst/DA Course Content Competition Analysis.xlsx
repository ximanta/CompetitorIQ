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166925"/>
  <xr:revisionPtr revIDLastSave="0" documentId="8_{A9FB89B5-B6F7-4400-9958-8FA1F3F6B3C9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Comparison" sheetId="1" r:id="rId1"/>
    <sheet name="Price, Duration, Project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2" l="1"/>
  <c r="B141" i="1"/>
  <c r="B140" i="1"/>
  <c r="D134" i="1"/>
  <c r="D133" i="1"/>
  <c r="D137" i="1" s="1"/>
  <c r="D132" i="1"/>
  <c r="D131" i="1"/>
  <c r="D136" i="1" s="1"/>
</calcChain>
</file>

<file path=xl/sharedStrings.xml><?xml version="1.0" encoding="utf-8"?>
<sst xmlns="http://schemas.openxmlformats.org/spreadsheetml/2006/main" count="416" uniqueCount="165">
  <si>
    <t>Category</t>
  </si>
  <si>
    <t>Topic</t>
  </si>
  <si>
    <t>Essential</t>
  </si>
  <si>
    <t>Professional Program in Data Analytics with GenAI (NIIT)</t>
  </si>
  <si>
    <t>Python &amp; EDA</t>
  </si>
  <si>
    <t>Dev environment (Jupyter Notebook, Colab)</t>
  </si>
  <si>
    <t>No</t>
  </si>
  <si>
    <t>Yes</t>
  </si>
  <si>
    <t>Python basics (syntax, types, loops, functions)</t>
  </si>
  <si>
    <t>Python data structures (Set, Tuple, List, Dictionary, Arrays, DataFrame)</t>
  </si>
  <si>
    <t>File I/O &amp; exception handling</t>
  </si>
  <si>
    <t>Object-Oriented Programming (OOP) - basic</t>
  </si>
  <si>
    <t>Python libraries (NumPy, Pandas, Matplotlib, Seaborn, Plotly, Streamlit)</t>
  </si>
  <si>
    <t>Data visualization (pie, bar, line, scatter, stacked, clustered, histograms, KDE, boxplots, violin, pair plots, and subplots)</t>
  </si>
  <si>
    <t>ETL workflow with SQL integration</t>
  </si>
  <si>
    <t>EDA (data cleaning, transforming(pivot, groupby, multi-index), summarizing, visualizing, analyzing - univariate, bivariate, multivariate, interpreting)</t>
  </si>
  <si>
    <t>Virtual environments (venv, conda)</t>
  </si>
  <si>
    <t>Python packaging basics</t>
  </si>
  <si>
    <t>Code structuring best practices</t>
  </si>
  <si>
    <t>Lambda functions &amp; list comprehensions</t>
  </si>
  <si>
    <t>Working with APIs (REST API basics, JSON handling)</t>
  </si>
  <si>
    <t>Logging best practices</t>
  </si>
  <si>
    <t>Debugging techniques</t>
  </si>
  <si>
    <t>Advanced Pandas (apply, melt)</t>
  </si>
  <si>
    <t>Customizing plots (themes, annotations, subplots)</t>
  </si>
  <si>
    <t>Correlation heatmaps</t>
  </si>
  <si>
    <t>Time-series visualization</t>
  </si>
  <si>
    <t>Cohort analysis visualization</t>
  </si>
  <si>
    <t>A/B test visualization</t>
  </si>
  <si>
    <t>Missing data analysis (MCAR, MAR, MNAR)</t>
  </si>
  <si>
    <t>Feature engineering basics</t>
  </si>
  <si>
    <t>Multicollinearity detection (VIF)</t>
  </si>
  <si>
    <t>Correlation vs causation</t>
  </si>
  <si>
    <t>Data validation techniques</t>
  </si>
  <si>
    <t>Exploratory data documentation (EDA reports)</t>
  </si>
  <si>
    <t>Prompt engineering basics for analytics</t>
  </si>
  <si>
    <t>AI-assisted code generation validation</t>
  </si>
  <si>
    <t>Data profiling automation</t>
  </si>
  <si>
    <t>Ethical AI usage in analytics</t>
  </si>
  <si>
    <t>AI hallucination detection &amp; mitigation</t>
  </si>
  <si>
    <t>Using AI tools/pckages such as - Groq API, y-dataprofiling, sweetViz, AutoViz, Gemini Colab</t>
  </si>
  <si>
    <t>Power BI</t>
  </si>
  <si>
    <t>ETL Technique for data (Excel, CSV, TXT, PDF)</t>
  </si>
  <si>
    <t>Data Transformation - clean, merge, append, split, rename, format, standardize, quality check, pivot, unpivot, date table, hierarchies</t>
  </si>
  <si>
    <t>Data Modeling - Star and Snoflake schemas, Fact nd Dimension tables, relationships, cross filtering, RLS, Calculated Columns, Measures, pre-aggregated tables</t>
  </si>
  <si>
    <t>DAX Calculations:
a. Aggregation - sum, count, average, min, max, distitinctcount, 
b. Logical - if, switch, filter,related,calculate
c. Time Intelligence - year, month, quarter, ytd, qtd, mtd, DATEADD, DATESYTD, SAMEPERIODLASTYEAR
d. KPI
e. Forecasting</t>
  </si>
  <si>
    <t xml:space="preserve">Data visualization and storytelling (pie, bar, line, scatter, combo, treemap, map, histograms, boxplots, bubble), </t>
  </si>
  <si>
    <t>Dashboards - multipage, interactive (filter, slicers, drilthrough, bookmark), mobile responsive</t>
  </si>
  <si>
    <t>Export report offline (PDF), online (publish)</t>
  </si>
  <si>
    <t>Many-to-many relationships</t>
  </si>
  <si>
    <t>Composite models</t>
  </si>
  <si>
    <t>Incremental refresh</t>
  </si>
  <si>
    <t>Aggregation tables</t>
  </si>
  <si>
    <t>Calculation groups</t>
  </si>
  <si>
    <t>Context transition</t>
  </si>
  <si>
    <t>Iterator functions (SUMX, AVERAGEX)</t>
  </si>
  <si>
    <t>Variables in DAX</t>
  </si>
  <si>
    <t>Advanced filtering logic</t>
  </si>
  <si>
    <t>Dynamic measures</t>
  </si>
  <si>
    <t>Ranking functions</t>
  </si>
  <si>
    <t>Query performance analyzer</t>
  </si>
  <si>
    <t>Data compression strategies</t>
  </si>
  <si>
    <t>Reducing cardinality</t>
  </si>
  <si>
    <t>Model size optimization</t>
  </si>
  <si>
    <t>Data gateway configuration</t>
  </si>
  <si>
    <t>Power BI service administration basics</t>
  </si>
  <si>
    <t>Workspace management</t>
  </si>
  <si>
    <t>Deployment pipelines</t>
  </si>
  <si>
    <t>Governance and compliance</t>
  </si>
  <si>
    <t>AI tools - Q&amp;A, Smart Narratives, Key Influencers, Quick Insights, Forecast, Anomaly detection</t>
  </si>
  <si>
    <t>Statistics and Regression Analysis</t>
  </si>
  <si>
    <t>Probability calculation - simple, joint, conditional</t>
  </si>
  <si>
    <t>Conbination &amp; Permutation</t>
  </si>
  <si>
    <t>Sample, population, Sampling techniques - random, clustered, stratefied, systematic</t>
  </si>
  <si>
    <t>Normal distribution, CLT</t>
  </si>
  <si>
    <t>Hypothesis Testing - Z-test (one and samples), T-test (independent nd paired samples)</t>
  </si>
  <si>
    <t>Data preparation for ML modeling - missing valu imputation, outlier treatment, encoding, standerdization/Normalization, split data, feature selection using correlation values</t>
  </si>
  <si>
    <t>Confidence intervals</t>
  </si>
  <si>
    <t>Effect size</t>
  </si>
  <si>
    <t>NO</t>
  </si>
  <si>
    <t>Chi-square test</t>
  </si>
  <si>
    <t>ANOVA</t>
  </si>
  <si>
    <t>Non-parametric tests</t>
  </si>
  <si>
    <t>Multiple linear regression</t>
  </si>
  <si>
    <t>Assumptions checking (linearity, homoscedasticity, multicollinearity)</t>
  </si>
  <si>
    <t>R-squared vs Adjusted R-squared</t>
  </si>
  <si>
    <t>Logistic regression (intro)</t>
  </si>
  <si>
    <t>Model diagnostics &amp; residual analysis</t>
  </si>
  <si>
    <t>Feature scaling (MinMax, StandardScaler)</t>
  </si>
  <si>
    <t>One-hot encoding</t>
  </si>
  <si>
    <t>Label encoding</t>
  </si>
  <si>
    <t>Handling imbalanced data</t>
  </si>
  <si>
    <t>Cross-validation basics</t>
  </si>
  <si>
    <t>A/B testing framework</t>
  </si>
  <si>
    <t>Experimental design basics</t>
  </si>
  <si>
    <t>ROI estimation models</t>
  </si>
  <si>
    <t>Risk analysis basics</t>
  </si>
  <si>
    <t>Simple linear regression - build model, formula, OLS, model evaluation</t>
  </si>
  <si>
    <t>Database and SQL</t>
  </si>
  <si>
    <t>Data Summarization - sum, average, count, group by, order by, having</t>
  </si>
  <si>
    <t xml:space="preserve">Joins (inner, outer, cross, self), subqueries (scalar, tabular, and correlated), </t>
  </si>
  <si>
    <t>DDL (CREATE, ALTER, DROP), DML (INSERT, UPDATE, DELETE), DCL, Tranactions, ACID Properties</t>
  </si>
  <si>
    <t>ER Diagrams, entity-relationships, schema</t>
  </si>
  <si>
    <t>Stored Procedure</t>
  </si>
  <si>
    <t>Triggers</t>
  </si>
  <si>
    <t>Exception Handling</t>
  </si>
  <si>
    <t>View, Index</t>
  </si>
  <si>
    <t>Window functions (ROW_NUMBER, RANK, DENSE_RANK, LEAD, LAG)</t>
  </si>
  <si>
    <t>CTEs (Common Table Expressions)</t>
  </si>
  <si>
    <t>Recursive queries</t>
  </si>
  <si>
    <t>Performance tuning basics</t>
  </si>
  <si>
    <t>OLTP vs OLAP</t>
  </si>
  <si>
    <t>Data warehouse architecture</t>
  </si>
  <si>
    <t>ETL vs ELT</t>
  </si>
  <si>
    <t>Fact &amp; Dimension modeling</t>
  </si>
  <si>
    <t>Slowly Changing Dimensions (SCD)</t>
  </si>
  <si>
    <t>Intro to NoSQL</t>
  </si>
  <si>
    <t>MongoDB basics (optional)</t>
  </si>
  <si>
    <t>Cloud database exposure (AWS RDS/Azure SQL)</t>
  </si>
  <si>
    <t>XDevAPI to read JSON data</t>
  </si>
  <si>
    <t>Excel</t>
  </si>
  <si>
    <t>Data categories - quatitative, qualitative</t>
  </si>
  <si>
    <t>Built-in functions - XLOOKUP, SUMIF, SUMIFS, AVERAGEIF, COUNTIF, COUNTIFS, MAXIFS</t>
  </si>
  <si>
    <t>Data import (Excel/CSV/TXT)</t>
  </si>
  <si>
    <t>Data Cleaning - missing vlue imputation, outlier tearment, remove duplicate records, data formatting</t>
  </si>
  <si>
    <t>Pivot table, pivot charts</t>
  </si>
  <si>
    <t xml:space="preserve">Measures of central tendency (mean, median, mode), measures of data distribution (range, standard deviation, variance, quartile, IQR, skewness, kurtosis), correlation (pearson) </t>
  </si>
  <si>
    <t>Power Query in Excel</t>
  </si>
  <si>
    <t>Power Pivot basics</t>
  </si>
  <si>
    <t>Data validation rules</t>
  </si>
  <si>
    <t>Conditional formatting</t>
  </si>
  <si>
    <t>What-if analysis</t>
  </si>
  <si>
    <t>Goal seek &amp; Solver</t>
  </si>
  <si>
    <t>Scenario manager</t>
  </si>
  <si>
    <t>NPV, IRR</t>
  </si>
  <si>
    <t>Forecast sheet</t>
  </si>
  <si>
    <t>Regression toolpak</t>
  </si>
  <si>
    <t>Sensitivity analysis</t>
  </si>
  <si>
    <t>Data storytelling and visualization - narratives, charts and graphs, dashboards</t>
  </si>
  <si>
    <t>TOPIC END</t>
  </si>
  <si>
    <t>Essential Yes, Present Yes</t>
  </si>
  <si>
    <t>Essential Yes, Present No</t>
  </si>
  <si>
    <t>Essential No, Present Yes</t>
  </si>
  <si>
    <t>Essential No, Present No</t>
  </si>
  <si>
    <t>Essential Yes, Present Yes %</t>
  </si>
  <si>
    <t>Essential No, Present Yes %</t>
  </si>
  <si>
    <t>Essential Topics Count</t>
  </si>
  <si>
    <t>Desirable Topics Count</t>
  </si>
  <si>
    <t>Provider</t>
  </si>
  <si>
    <t>Course Name</t>
  </si>
  <si>
    <t>Price</t>
  </si>
  <si>
    <t>Duration</t>
  </si>
  <si>
    <t>Price/Week</t>
  </si>
  <si>
    <t>Projects</t>
  </si>
  <si>
    <t>Additional Services</t>
  </si>
  <si>
    <t>Eligibility Criteria</t>
  </si>
  <si>
    <t>Website Link</t>
  </si>
  <si>
    <t>Remarks</t>
  </si>
  <si>
    <t xml:space="preserve">NIIT </t>
  </si>
  <si>
    <t>Professional Program in Data Analytics with GenAI</t>
  </si>
  <si>
    <t>24 weeks</t>
  </si>
  <si>
    <t xml:space="preserve">Course End Projects to choose from:
a. Sports Performance Analysis 
b. Social Media Trends 
c. Environmental Data 
d. E-commerce Patterns 
e. Financial Markets and Economy 
f. Entertainment Preferences 
g. Transportation Analysis 
h. Consumer Behavior 
i. Travel and Tourism 
j. Technology and Innovation 
6. Capstone Projects to choose from: 
Topic 1: Analyze E-Commerce Sales to Improve Customer Conversion &amp; Retention (RetailTech) 
Topic 2: Assess Fitness App Usage &amp; Calorie Burn Patterns to Drive Personalized Engagement (HealthTech) 
Topic 3: Evaluate Medicine Supply Chain Demand &amp; Inventory Performance for Better Planning (MedTech) 
Topic 4: Analyze Social Media Engagement to Uncover Brand Performance Insights (SocialTech) 
Topic 5: Analyze OTT Platform Viewing Patterns to Support Data-Driven Content Decisions (MediaTech) 
Topic 6: Explore Gamer Behavior &amp; Monetization Patterns to Optimize In-Game Engagement (GameTech) 
Topic 7: Analyze Food Delivery Demand Across Regions to Inform Market Expansion &amp; Logistics (FoodTech) 
Topic 8: Evaluate Crop Production &amp; Yield Data Across India to Strengthen Agricultural Planning (AgriTech) 
Topic 9: Analyze Campus Placement &amp; Hiring Data to Understand Talent Pipeline &amp; Predict Success Traits (EduTech) 
Topic 10: Analyze Operational Data to Improve Logistics &amp; Warehousing Efficiency (LogiTech) </t>
  </si>
  <si>
    <t>Placement assistance opportunities</t>
  </si>
  <si>
    <t>* If you have a minimum of 50% in class X, XII, and graduation, you're eligible to apply.
* Undergraduates must maintain at least 50% marks until the final year and achieve a minimum 50% aggregate upon graduation.
* Open to BE/B.Tech, BCA, B.Sc, BBA, B.Com, B.A, M.Tech, MCA, M.Sc, MBA, M.A, and MS graduates.
* Students not from a mathematics background are required to take an Aptitude and English test during orientation.</t>
  </si>
  <si>
    <t>https://www.niit.com/india/course/professional-program-in-data-analytics-with-genai/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</si>
</sst>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 &quot;#,##0;[Red]&quot;₹ -&quot;#,##0"/>
  </numFmts>
  <fonts count="5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87331"/>
        <bgColor rgb="FFFF8080"/>
      </patternFill>
    </fill>
    <fill>
      <patternFill patternType="solid">
        <fgColor rgb="FFD9D9D9"/>
        <bgColor rgb="FFC6EFCE"/>
      </patternFill>
    </fill>
    <fill>
      <patternFill patternType="solid">
        <fgColor rgb="FF145F82"/>
        <bgColor rgb="FF0563C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18">
    <xf numFmtId="0" fontId="0" fillId="0" borderId="0" xfId="0"/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1" fontId="0" fillId="0" borderId="6" xfId="0" applyNumberFormat="1" applyBorder="1" applyAlignment="1">
      <alignment vertical="center" wrapText="1"/>
    </xf>
    <xf numFmtId="0" fontId="4" fillId="0" borderId="6" xfId="1" applyBorder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45F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873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it.com/india/course/professional-program-in-data-analytics-with-gen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zoomScaleNormal="100" workbookViewId="0">
      <selection activeCell="F136" sqref="F136"/>
    </sheetView>
  </sheetViews>
  <sheetFormatPr defaultColWidth="8.5703125" defaultRowHeight="15"/>
  <cols>
    <col min="1" max="1" width="24.28515625" customWidth="1"/>
    <col min="2" max="2" width="37.28515625" customWidth="1"/>
    <col min="4" max="4" width="28.28515625" customWidth="1"/>
  </cols>
  <sheetData>
    <row r="1" spans="1:4" ht="121.5">
      <c r="A1" s="3" t="s">
        <v>0</v>
      </c>
      <c r="B1" s="4" t="s">
        <v>1</v>
      </c>
      <c r="C1" s="5" t="s">
        <v>2</v>
      </c>
      <c r="D1" s="4" t="s">
        <v>3</v>
      </c>
    </row>
    <row r="2" spans="1:4" ht="91.5">
      <c r="A2" s="2" t="s">
        <v>4</v>
      </c>
      <c r="B2" s="6" t="s">
        <v>5</v>
      </c>
      <c r="C2" s="7" t="s">
        <v>6</v>
      </c>
      <c r="D2" s="6" t="s">
        <v>7</v>
      </c>
    </row>
    <row r="3" spans="1:4" ht="106.5">
      <c r="A3" s="2"/>
      <c r="B3" s="6" t="s">
        <v>8</v>
      </c>
      <c r="C3" s="7" t="s">
        <v>7</v>
      </c>
      <c r="D3" s="6" t="s">
        <v>7</v>
      </c>
    </row>
    <row r="4" spans="1:4" ht="152.25">
      <c r="A4" s="2"/>
      <c r="B4" s="6" t="s">
        <v>9</v>
      </c>
      <c r="C4" s="7" t="s">
        <v>7</v>
      </c>
      <c r="D4" s="6" t="s">
        <v>7</v>
      </c>
    </row>
    <row r="5" spans="1:4" ht="60.75">
      <c r="A5" s="2"/>
      <c r="B5" s="6" t="s">
        <v>10</v>
      </c>
      <c r="C5" s="7" t="s">
        <v>7</v>
      </c>
      <c r="D5" s="6" t="s">
        <v>7</v>
      </c>
    </row>
    <row r="6" spans="1:4" ht="91.5">
      <c r="A6" s="2"/>
      <c r="B6" s="6" t="s">
        <v>11</v>
      </c>
      <c r="C6" s="7" t="s">
        <v>7</v>
      </c>
      <c r="D6" s="6" t="s">
        <v>7</v>
      </c>
    </row>
    <row r="7" spans="1:4" ht="152.25">
      <c r="A7" s="2"/>
      <c r="B7" s="8" t="s">
        <v>12</v>
      </c>
      <c r="C7" s="7" t="s">
        <v>7</v>
      </c>
      <c r="D7" s="6" t="s">
        <v>7</v>
      </c>
    </row>
    <row r="8" spans="1:4" ht="244.5">
      <c r="A8" s="2"/>
      <c r="B8" s="6" t="s">
        <v>13</v>
      </c>
      <c r="C8" s="7" t="s">
        <v>7</v>
      </c>
      <c r="D8" s="6" t="s">
        <v>7</v>
      </c>
    </row>
    <row r="9" spans="1:4" ht="76.5">
      <c r="A9" s="2"/>
      <c r="B9" s="6" t="s">
        <v>14</v>
      </c>
      <c r="C9" s="7" t="s">
        <v>7</v>
      </c>
      <c r="D9" s="6" t="s">
        <v>7</v>
      </c>
    </row>
    <row r="10" spans="1:4" ht="336">
      <c r="A10" s="2"/>
      <c r="B10" s="6" t="s">
        <v>15</v>
      </c>
      <c r="C10" s="7" t="s">
        <v>7</v>
      </c>
      <c r="D10" s="6" t="s">
        <v>7</v>
      </c>
    </row>
    <row r="11" spans="1:4" ht="76.5">
      <c r="A11" s="2"/>
      <c r="B11" s="6" t="s">
        <v>16</v>
      </c>
      <c r="C11" s="7" t="s">
        <v>6</v>
      </c>
      <c r="D11" s="6" t="s">
        <v>6</v>
      </c>
    </row>
    <row r="12" spans="1:4" ht="45.75">
      <c r="A12" s="2"/>
      <c r="B12" s="6" t="s">
        <v>17</v>
      </c>
      <c r="C12" s="7" t="s">
        <v>6</v>
      </c>
      <c r="D12" s="6" t="s">
        <v>6</v>
      </c>
    </row>
    <row r="13" spans="1:4" ht="60.75">
      <c r="A13" s="2"/>
      <c r="B13" s="6" t="s">
        <v>18</v>
      </c>
      <c r="C13" s="7" t="s">
        <v>7</v>
      </c>
      <c r="D13" s="6" t="s">
        <v>7</v>
      </c>
    </row>
    <row r="14" spans="1:4" ht="76.5">
      <c r="A14" s="2"/>
      <c r="B14" s="6" t="s">
        <v>19</v>
      </c>
      <c r="C14" s="7" t="s">
        <v>7</v>
      </c>
      <c r="D14" s="6" t="s">
        <v>7</v>
      </c>
    </row>
    <row r="15" spans="1:4" ht="91.5">
      <c r="A15" s="2"/>
      <c r="B15" s="6" t="s">
        <v>20</v>
      </c>
      <c r="C15" s="7" t="s">
        <v>6</v>
      </c>
      <c r="D15" s="6" t="s">
        <v>6</v>
      </c>
    </row>
    <row r="16" spans="1:4" ht="45.75">
      <c r="A16" s="2"/>
      <c r="B16" s="6" t="s">
        <v>21</v>
      </c>
      <c r="C16" s="7" t="s">
        <v>7</v>
      </c>
      <c r="D16" s="6" t="s">
        <v>6</v>
      </c>
    </row>
    <row r="17" spans="1:4" ht="60.75">
      <c r="A17" s="2"/>
      <c r="B17" s="6" t="s">
        <v>22</v>
      </c>
      <c r="C17" s="7" t="s">
        <v>7</v>
      </c>
      <c r="D17" s="6" t="s">
        <v>7</v>
      </c>
    </row>
    <row r="18" spans="1:4" ht="60.75">
      <c r="A18" s="2"/>
      <c r="B18" s="6" t="s">
        <v>23</v>
      </c>
      <c r="C18" s="7" t="s">
        <v>6</v>
      </c>
      <c r="D18" s="6" t="s">
        <v>6</v>
      </c>
    </row>
    <row r="19" spans="1:4" ht="91.5">
      <c r="A19" s="2"/>
      <c r="B19" s="6" t="s">
        <v>24</v>
      </c>
      <c r="C19" s="7" t="s">
        <v>7</v>
      </c>
      <c r="D19" s="6" t="s">
        <v>7</v>
      </c>
    </row>
    <row r="20" spans="1:4" ht="60.75">
      <c r="A20" s="2"/>
      <c r="B20" s="6" t="s">
        <v>25</v>
      </c>
      <c r="C20" s="7" t="s">
        <v>7</v>
      </c>
      <c r="D20" s="6" t="s">
        <v>7</v>
      </c>
    </row>
    <row r="21" spans="1:4" ht="60.75">
      <c r="A21" s="2"/>
      <c r="B21" s="6" t="s">
        <v>26</v>
      </c>
      <c r="C21" s="7" t="s">
        <v>7</v>
      </c>
      <c r="D21" s="6" t="s">
        <v>6</v>
      </c>
    </row>
    <row r="22" spans="1:4" ht="60.75">
      <c r="A22" s="2"/>
      <c r="B22" s="6" t="s">
        <v>27</v>
      </c>
      <c r="C22" s="7" t="s">
        <v>6</v>
      </c>
      <c r="D22" s="6" t="s">
        <v>6</v>
      </c>
    </row>
    <row r="23" spans="1:4" ht="45.75">
      <c r="A23" s="2"/>
      <c r="B23" s="6" t="s">
        <v>28</v>
      </c>
      <c r="C23" s="7" t="s">
        <v>6</v>
      </c>
      <c r="D23" s="6" t="s">
        <v>6</v>
      </c>
    </row>
    <row r="24" spans="1:4" ht="91.5">
      <c r="A24" s="2"/>
      <c r="B24" s="6" t="s">
        <v>29</v>
      </c>
      <c r="C24" s="7" t="s">
        <v>6</v>
      </c>
      <c r="D24" s="6" t="s">
        <v>6</v>
      </c>
    </row>
    <row r="25" spans="1:4" ht="45.75">
      <c r="A25" s="2"/>
      <c r="B25" s="6" t="s">
        <v>30</v>
      </c>
      <c r="C25" s="7" t="s">
        <v>7</v>
      </c>
      <c r="D25" s="6" t="s">
        <v>7</v>
      </c>
    </row>
    <row r="26" spans="1:4" ht="60.75">
      <c r="A26" s="2"/>
      <c r="B26" s="6" t="s">
        <v>31</v>
      </c>
      <c r="C26" s="7" t="s">
        <v>6</v>
      </c>
      <c r="D26" s="6" t="s">
        <v>6</v>
      </c>
    </row>
    <row r="27" spans="1:4" ht="45.75">
      <c r="A27" s="2"/>
      <c r="B27" s="6" t="s">
        <v>32</v>
      </c>
      <c r="C27" s="7" t="s">
        <v>6</v>
      </c>
      <c r="D27" s="6" t="s">
        <v>6</v>
      </c>
    </row>
    <row r="28" spans="1:4" ht="76.5">
      <c r="A28" s="2"/>
      <c r="B28" s="6" t="s">
        <v>33</v>
      </c>
      <c r="C28" s="7" t="s">
        <v>6</v>
      </c>
      <c r="D28" s="6" t="s">
        <v>6</v>
      </c>
    </row>
    <row r="29" spans="1:4" ht="91.5">
      <c r="A29" s="2"/>
      <c r="B29" s="6" t="s">
        <v>34</v>
      </c>
      <c r="C29" s="7" t="s">
        <v>7</v>
      </c>
      <c r="D29" s="6" t="s">
        <v>7</v>
      </c>
    </row>
    <row r="30" spans="1:4" ht="76.5">
      <c r="A30" s="2"/>
      <c r="B30" s="6" t="s">
        <v>35</v>
      </c>
      <c r="C30" s="7" t="s">
        <v>6</v>
      </c>
      <c r="D30" s="6" t="s">
        <v>6</v>
      </c>
    </row>
    <row r="31" spans="1:4" ht="106.5">
      <c r="A31" s="2"/>
      <c r="B31" s="6" t="s">
        <v>36</v>
      </c>
      <c r="C31" s="7" t="s">
        <v>6</v>
      </c>
      <c r="D31" s="6" t="s">
        <v>6</v>
      </c>
    </row>
    <row r="32" spans="1:4" ht="60.75">
      <c r="A32" s="2"/>
      <c r="B32" s="6" t="s">
        <v>37</v>
      </c>
      <c r="C32" s="7" t="s">
        <v>7</v>
      </c>
      <c r="D32" s="6" t="s">
        <v>7</v>
      </c>
    </row>
    <row r="33" spans="1:4" ht="45.75">
      <c r="A33" s="2"/>
      <c r="B33" s="6" t="s">
        <v>38</v>
      </c>
      <c r="C33" s="7" t="s">
        <v>6</v>
      </c>
      <c r="D33" s="6" t="s">
        <v>6</v>
      </c>
    </row>
    <row r="34" spans="1:4" ht="106.5">
      <c r="A34" s="2"/>
      <c r="B34" s="6" t="s">
        <v>39</v>
      </c>
      <c r="C34" s="7" t="s">
        <v>6</v>
      </c>
      <c r="D34" s="6" t="s">
        <v>6</v>
      </c>
    </row>
    <row r="35" spans="1:4" ht="183">
      <c r="A35" s="2"/>
      <c r="B35" s="6" t="s">
        <v>40</v>
      </c>
      <c r="C35" s="7" t="s">
        <v>7</v>
      </c>
      <c r="D35" s="6" t="s">
        <v>7</v>
      </c>
    </row>
    <row r="36" spans="1:4" ht="91.5">
      <c r="A36" s="1" t="s">
        <v>41</v>
      </c>
      <c r="B36" s="6" t="s">
        <v>42</v>
      </c>
      <c r="C36" s="7" t="s">
        <v>7</v>
      </c>
      <c r="D36" s="6" t="s">
        <v>7</v>
      </c>
    </row>
    <row r="37" spans="1:4" ht="290.25">
      <c r="A37" s="1"/>
      <c r="B37" s="6" t="s">
        <v>43</v>
      </c>
      <c r="C37" s="7" t="s">
        <v>7</v>
      </c>
      <c r="D37" s="6" t="s">
        <v>7</v>
      </c>
    </row>
    <row r="38" spans="1:4" ht="305.25">
      <c r="A38" s="1"/>
      <c r="B38" s="6" t="s">
        <v>44</v>
      </c>
      <c r="C38" s="7" t="s">
        <v>7</v>
      </c>
      <c r="D38" s="6" t="s">
        <v>7</v>
      </c>
    </row>
    <row r="39" spans="1:4" ht="409.5">
      <c r="A39" s="1"/>
      <c r="B39" s="6" t="s">
        <v>45</v>
      </c>
      <c r="C39" s="7" t="s">
        <v>7</v>
      </c>
      <c r="D39" s="6" t="s">
        <v>7</v>
      </c>
    </row>
    <row r="40" spans="1:4" ht="213">
      <c r="A40" s="1"/>
      <c r="B40" s="6" t="s">
        <v>46</v>
      </c>
      <c r="C40" s="7" t="s">
        <v>7</v>
      </c>
      <c r="D40" s="6" t="s">
        <v>7</v>
      </c>
    </row>
    <row r="41" spans="1:4" ht="213">
      <c r="A41" s="1"/>
      <c r="B41" s="8" t="s">
        <v>47</v>
      </c>
      <c r="C41" s="7" t="s">
        <v>7</v>
      </c>
      <c r="D41" s="6" t="s">
        <v>7</v>
      </c>
    </row>
    <row r="42" spans="1:4" ht="91.5">
      <c r="A42" s="1"/>
      <c r="B42" s="6" t="s">
        <v>48</v>
      </c>
      <c r="C42" s="7" t="s">
        <v>7</v>
      </c>
      <c r="D42" s="6" t="s">
        <v>7</v>
      </c>
    </row>
    <row r="43" spans="1:4" ht="60.75">
      <c r="A43" s="1"/>
      <c r="B43" s="6" t="s">
        <v>49</v>
      </c>
      <c r="C43" s="7" t="s">
        <v>7</v>
      </c>
      <c r="D43" s="6" t="s">
        <v>7</v>
      </c>
    </row>
    <row r="44" spans="1:4" ht="30.75">
      <c r="A44" s="1"/>
      <c r="B44" s="6" t="s">
        <v>50</v>
      </c>
      <c r="C44" s="7" t="s">
        <v>7</v>
      </c>
      <c r="D44" s="6" t="s">
        <v>6</v>
      </c>
    </row>
    <row r="45" spans="1:4" ht="45.75">
      <c r="A45" s="1"/>
      <c r="B45" s="6" t="s">
        <v>51</v>
      </c>
      <c r="C45" s="7" t="s">
        <v>6</v>
      </c>
      <c r="D45" s="6" t="s">
        <v>6</v>
      </c>
    </row>
    <row r="46" spans="1:4" ht="30.75">
      <c r="A46" s="1"/>
      <c r="B46" s="6" t="s">
        <v>52</v>
      </c>
      <c r="C46" s="7" t="s">
        <v>7</v>
      </c>
      <c r="D46" s="6" t="s">
        <v>7</v>
      </c>
    </row>
    <row r="47" spans="1:4" ht="45.75">
      <c r="A47" s="1"/>
      <c r="B47" s="6" t="s">
        <v>53</v>
      </c>
      <c r="C47" s="7" t="s">
        <v>7</v>
      </c>
      <c r="D47" s="6" t="s">
        <v>6</v>
      </c>
    </row>
    <row r="48" spans="1:4" ht="30.75">
      <c r="A48" s="1"/>
      <c r="B48" s="6" t="s">
        <v>54</v>
      </c>
      <c r="C48" s="7" t="s">
        <v>6</v>
      </c>
      <c r="D48" s="6" t="s">
        <v>6</v>
      </c>
    </row>
    <row r="49" spans="1:4" ht="76.5">
      <c r="A49" s="1"/>
      <c r="B49" s="6" t="s">
        <v>55</v>
      </c>
      <c r="C49" s="7" t="s">
        <v>7</v>
      </c>
      <c r="D49" s="6" t="s">
        <v>7</v>
      </c>
    </row>
    <row r="50" spans="1:4" ht="30.75">
      <c r="A50" s="1"/>
      <c r="B50" s="6" t="s">
        <v>56</v>
      </c>
      <c r="C50" s="7" t="s">
        <v>7</v>
      </c>
      <c r="D50" s="6" t="s">
        <v>7</v>
      </c>
    </row>
    <row r="51" spans="1:4" ht="45.75">
      <c r="A51" s="1"/>
      <c r="B51" s="6" t="s">
        <v>57</v>
      </c>
      <c r="C51" s="7" t="s">
        <v>7</v>
      </c>
      <c r="D51" s="6" t="s">
        <v>7</v>
      </c>
    </row>
    <row r="52" spans="1:4" ht="30.75">
      <c r="A52" s="1"/>
      <c r="B52" s="6" t="s">
        <v>58</v>
      </c>
      <c r="C52" s="7" t="s">
        <v>7</v>
      </c>
      <c r="D52" s="6" t="s">
        <v>6</v>
      </c>
    </row>
    <row r="53" spans="1:4" ht="30.75">
      <c r="A53" s="1"/>
      <c r="B53" s="6" t="s">
        <v>59</v>
      </c>
      <c r="C53" s="7" t="s">
        <v>6</v>
      </c>
      <c r="D53" s="6" t="s">
        <v>6</v>
      </c>
    </row>
    <row r="54" spans="1:4" ht="60.75">
      <c r="A54" s="1"/>
      <c r="B54" s="6" t="s">
        <v>60</v>
      </c>
      <c r="C54" s="7" t="s">
        <v>7</v>
      </c>
      <c r="D54" s="6" t="s">
        <v>7</v>
      </c>
    </row>
    <row r="55" spans="1:4" ht="60.75">
      <c r="A55" s="1"/>
      <c r="B55" s="6" t="s">
        <v>61</v>
      </c>
      <c r="C55" s="7" t="s">
        <v>6</v>
      </c>
      <c r="D55" s="6" t="s">
        <v>6</v>
      </c>
    </row>
    <row r="56" spans="1:4" ht="45.75">
      <c r="A56" s="1"/>
      <c r="B56" s="6" t="s">
        <v>62</v>
      </c>
      <c r="C56" s="7" t="s">
        <v>7</v>
      </c>
      <c r="D56" s="6" t="s">
        <v>7</v>
      </c>
    </row>
    <row r="57" spans="1:4" ht="60.75">
      <c r="A57" s="1"/>
      <c r="B57" s="6" t="s">
        <v>63</v>
      </c>
      <c r="C57" s="7" t="s">
        <v>7</v>
      </c>
      <c r="D57" s="6" t="s">
        <v>7</v>
      </c>
    </row>
    <row r="58" spans="1:4" ht="60.75">
      <c r="A58" s="1"/>
      <c r="B58" s="6" t="s">
        <v>64</v>
      </c>
      <c r="C58" s="7" t="s">
        <v>6</v>
      </c>
      <c r="D58" s="6" t="s">
        <v>6</v>
      </c>
    </row>
    <row r="59" spans="1:4" ht="76.5">
      <c r="A59" s="1"/>
      <c r="B59" s="6" t="s">
        <v>65</v>
      </c>
      <c r="C59" s="7" t="s">
        <v>6</v>
      </c>
      <c r="D59" s="6" t="s">
        <v>6</v>
      </c>
    </row>
    <row r="60" spans="1:4" ht="60.75">
      <c r="A60" s="1"/>
      <c r="B60" s="6" t="s">
        <v>66</v>
      </c>
      <c r="C60" s="7" t="s">
        <v>6</v>
      </c>
      <c r="D60" s="6" t="s">
        <v>6</v>
      </c>
    </row>
    <row r="61" spans="1:4" ht="45.75">
      <c r="A61" s="1"/>
      <c r="B61" s="6" t="s">
        <v>67</v>
      </c>
      <c r="C61" s="7" t="s">
        <v>6</v>
      </c>
      <c r="D61" s="6" t="s">
        <v>6</v>
      </c>
    </row>
    <row r="62" spans="1:4" ht="60.75">
      <c r="A62" s="1"/>
      <c r="B62" s="6" t="s">
        <v>68</v>
      </c>
      <c r="C62" s="7" t="s">
        <v>6</v>
      </c>
      <c r="D62" s="6" t="s">
        <v>6</v>
      </c>
    </row>
    <row r="63" spans="1:4" ht="167.25">
      <c r="A63" s="1"/>
      <c r="B63" s="6" t="s">
        <v>69</v>
      </c>
      <c r="C63" s="7" t="s">
        <v>7</v>
      </c>
      <c r="D63" s="6" t="s">
        <v>7</v>
      </c>
    </row>
    <row r="64" spans="1:4" ht="121.5">
      <c r="A64" s="1" t="s">
        <v>70</v>
      </c>
      <c r="B64" s="6" t="s">
        <v>71</v>
      </c>
      <c r="C64" s="7" t="s">
        <v>7</v>
      </c>
      <c r="D64" s="6" t="s">
        <v>7</v>
      </c>
    </row>
    <row r="65" spans="1:4" ht="60.75">
      <c r="A65" s="1"/>
      <c r="B65" s="6" t="s">
        <v>72</v>
      </c>
      <c r="C65" s="7" t="s">
        <v>7</v>
      </c>
      <c r="D65" s="6" t="s">
        <v>7</v>
      </c>
    </row>
    <row r="66" spans="1:4" ht="198">
      <c r="A66" s="1"/>
      <c r="B66" s="6" t="s">
        <v>73</v>
      </c>
      <c r="C66" s="7" t="s">
        <v>7</v>
      </c>
      <c r="D66" s="6" t="s">
        <v>7</v>
      </c>
    </row>
    <row r="67" spans="1:4" ht="45.75">
      <c r="A67" s="1"/>
      <c r="B67" s="6" t="s">
        <v>74</v>
      </c>
      <c r="C67" s="7" t="s">
        <v>7</v>
      </c>
      <c r="D67" s="6" t="s">
        <v>7</v>
      </c>
    </row>
    <row r="68" spans="1:4" ht="152.25">
      <c r="A68" s="1"/>
      <c r="B68" s="6" t="s">
        <v>75</v>
      </c>
      <c r="C68" s="7" t="s">
        <v>7</v>
      </c>
      <c r="D68" s="6" t="s">
        <v>7</v>
      </c>
    </row>
    <row r="69" spans="1:4" ht="381.75">
      <c r="A69" s="1"/>
      <c r="B69" s="6" t="s">
        <v>76</v>
      </c>
      <c r="C69" s="7" t="s">
        <v>7</v>
      </c>
      <c r="D69" s="6" t="s">
        <v>7</v>
      </c>
    </row>
    <row r="70" spans="1:4" ht="45.75">
      <c r="A70" s="1"/>
      <c r="B70" s="6" t="s">
        <v>77</v>
      </c>
      <c r="C70" s="7" t="s">
        <v>7</v>
      </c>
      <c r="D70" s="6" t="s">
        <v>7</v>
      </c>
    </row>
    <row r="71" spans="1:4" ht="30.75">
      <c r="A71" s="1"/>
      <c r="B71" s="6" t="s">
        <v>78</v>
      </c>
      <c r="C71" s="7" t="s">
        <v>7</v>
      </c>
      <c r="D71" s="6" t="s">
        <v>79</v>
      </c>
    </row>
    <row r="72" spans="1:4" ht="45.75">
      <c r="A72" s="1"/>
      <c r="B72" s="6" t="s">
        <v>80</v>
      </c>
      <c r="C72" s="7" t="s">
        <v>7</v>
      </c>
      <c r="D72" s="6" t="s">
        <v>79</v>
      </c>
    </row>
    <row r="73" spans="1:4">
      <c r="A73" s="1"/>
      <c r="B73" s="6" t="s">
        <v>81</v>
      </c>
      <c r="C73" s="7" t="s">
        <v>7</v>
      </c>
      <c r="D73" s="6" t="s">
        <v>6</v>
      </c>
    </row>
    <row r="74" spans="1:4" ht="45.75">
      <c r="A74" s="1"/>
      <c r="B74" s="6" t="s">
        <v>82</v>
      </c>
      <c r="C74" s="7" t="s">
        <v>6</v>
      </c>
      <c r="D74" s="6" t="s">
        <v>6</v>
      </c>
    </row>
    <row r="75" spans="1:4" ht="60.75">
      <c r="A75" s="1"/>
      <c r="B75" s="6" t="s">
        <v>83</v>
      </c>
      <c r="C75" s="7" t="s">
        <v>6</v>
      </c>
      <c r="D75" s="6" t="s">
        <v>6</v>
      </c>
    </row>
    <row r="76" spans="1:4" ht="121.5">
      <c r="A76" s="1"/>
      <c r="B76" s="6" t="s">
        <v>84</v>
      </c>
      <c r="C76" s="7" t="s">
        <v>7</v>
      </c>
      <c r="D76" s="6" t="s">
        <v>6</v>
      </c>
    </row>
    <row r="77" spans="1:4" ht="91.5">
      <c r="A77" s="1"/>
      <c r="B77" s="6" t="s">
        <v>85</v>
      </c>
      <c r="C77" s="7" t="s">
        <v>6</v>
      </c>
      <c r="D77" s="6" t="s">
        <v>6</v>
      </c>
    </row>
    <row r="78" spans="1:4" ht="45.75">
      <c r="A78" s="1"/>
      <c r="B78" s="6" t="s">
        <v>86</v>
      </c>
      <c r="C78" s="7" t="s">
        <v>7</v>
      </c>
      <c r="D78" s="6" t="s">
        <v>6</v>
      </c>
    </row>
    <row r="79" spans="1:4" ht="76.5">
      <c r="A79" s="1"/>
      <c r="B79" s="6" t="s">
        <v>87</v>
      </c>
      <c r="C79" s="7" t="s">
        <v>7</v>
      </c>
      <c r="D79" s="6" t="s">
        <v>7</v>
      </c>
    </row>
    <row r="80" spans="1:4" ht="76.5">
      <c r="A80" s="1"/>
      <c r="B80" s="6" t="s">
        <v>88</v>
      </c>
      <c r="C80" s="7" t="s">
        <v>7</v>
      </c>
      <c r="D80" s="6" t="s">
        <v>7</v>
      </c>
    </row>
    <row r="81" spans="1:4" ht="30.75">
      <c r="A81" s="1"/>
      <c r="B81" s="6" t="s">
        <v>89</v>
      </c>
      <c r="C81" s="7" t="s">
        <v>6</v>
      </c>
      <c r="D81" s="6" t="s">
        <v>6</v>
      </c>
    </row>
    <row r="82" spans="1:4" ht="30.75">
      <c r="A82" s="1"/>
      <c r="B82" s="6" t="s">
        <v>90</v>
      </c>
      <c r="C82" s="7" t="s">
        <v>7</v>
      </c>
      <c r="D82" s="6" t="s">
        <v>7</v>
      </c>
    </row>
    <row r="83" spans="1:4" ht="45.75">
      <c r="A83" s="1"/>
      <c r="B83" s="6" t="s">
        <v>91</v>
      </c>
      <c r="C83" s="7" t="s">
        <v>6</v>
      </c>
      <c r="D83" s="6" t="s">
        <v>6</v>
      </c>
    </row>
    <row r="84" spans="1:4" ht="45.75">
      <c r="A84" s="1"/>
      <c r="B84" s="6" t="s">
        <v>92</v>
      </c>
      <c r="C84" s="7" t="s">
        <v>6</v>
      </c>
      <c r="D84" s="6" t="s">
        <v>6</v>
      </c>
    </row>
    <row r="85" spans="1:4" ht="60.75">
      <c r="A85" s="1"/>
      <c r="B85" s="6" t="s">
        <v>93</v>
      </c>
      <c r="C85" s="7" t="s">
        <v>7</v>
      </c>
      <c r="D85" s="6" t="s">
        <v>6</v>
      </c>
    </row>
    <row r="86" spans="1:4" ht="60.75">
      <c r="A86" s="1"/>
      <c r="B86" s="6" t="s">
        <v>94</v>
      </c>
      <c r="C86" s="7" t="s">
        <v>6</v>
      </c>
      <c r="D86" s="6" t="s">
        <v>6</v>
      </c>
    </row>
    <row r="87" spans="1:4" ht="45.75">
      <c r="A87" s="1"/>
      <c r="B87" s="6" t="s">
        <v>95</v>
      </c>
      <c r="C87" s="7" t="s">
        <v>6</v>
      </c>
      <c r="D87" s="6" t="s">
        <v>79</v>
      </c>
    </row>
    <row r="88" spans="1:4" ht="45.75">
      <c r="A88" s="1"/>
      <c r="B88" s="6" t="s">
        <v>96</v>
      </c>
      <c r="C88" s="7" t="s">
        <v>6</v>
      </c>
      <c r="D88" s="6" t="s">
        <v>79</v>
      </c>
    </row>
    <row r="89" spans="1:4" ht="152.25">
      <c r="A89" s="1"/>
      <c r="B89" s="6" t="s">
        <v>97</v>
      </c>
      <c r="C89" s="7" t="s">
        <v>7</v>
      </c>
      <c r="D89" s="6" t="s">
        <v>7</v>
      </c>
    </row>
    <row r="90" spans="1:4" ht="137.25">
      <c r="A90" s="1" t="s">
        <v>98</v>
      </c>
      <c r="B90" s="6" t="s">
        <v>99</v>
      </c>
      <c r="C90" s="7" t="s">
        <v>7</v>
      </c>
      <c r="D90" s="6" t="s">
        <v>7</v>
      </c>
    </row>
    <row r="91" spans="1:4" ht="167.25">
      <c r="A91" s="1"/>
      <c r="B91" s="6" t="s">
        <v>100</v>
      </c>
      <c r="C91" s="7" t="s">
        <v>7</v>
      </c>
      <c r="D91" s="6" t="s">
        <v>7</v>
      </c>
    </row>
    <row r="92" spans="1:4" ht="198">
      <c r="A92" s="1"/>
      <c r="B92" s="6" t="s">
        <v>101</v>
      </c>
      <c r="C92" s="7" t="s">
        <v>7</v>
      </c>
      <c r="D92" s="6" t="s">
        <v>7</v>
      </c>
    </row>
    <row r="93" spans="1:4" ht="91.5">
      <c r="A93" s="1"/>
      <c r="B93" s="6" t="s">
        <v>102</v>
      </c>
      <c r="C93" s="7" t="s">
        <v>7</v>
      </c>
      <c r="D93" s="6" t="s">
        <v>7</v>
      </c>
    </row>
    <row r="94" spans="1:4" ht="45.75">
      <c r="A94" s="1"/>
      <c r="B94" s="6" t="s">
        <v>103</v>
      </c>
      <c r="C94" s="7" t="s">
        <v>7</v>
      </c>
      <c r="D94" s="6" t="s">
        <v>7</v>
      </c>
    </row>
    <row r="95" spans="1:4">
      <c r="A95" s="1"/>
      <c r="B95" s="6" t="s">
        <v>104</v>
      </c>
      <c r="C95" s="7" t="s">
        <v>7</v>
      </c>
      <c r="D95" s="6" t="s">
        <v>7</v>
      </c>
    </row>
    <row r="96" spans="1:4" ht="45.75">
      <c r="A96" s="1"/>
      <c r="B96" s="6" t="s">
        <v>105</v>
      </c>
      <c r="C96" s="7" t="s">
        <v>7</v>
      </c>
      <c r="D96" s="6" t="s">
        <v>7</v>
      </c>
    </row>
    <row r="97" spans="1:4" ht="30.75">
      <c r="A97" s="1"/>
      <c r="B97" s="6" t="s">
        <v>106</v>
      </c>
      <c r="C97" s="7" t="s">
        <v>7</v>
      </c>
      <c r="D97" s="6" t="s">
        <v>7</v>
      </c>
    </row>
    <row r="98" spans="1:4" ht="137.25">
      <c r="A98" s="1"/>
      <c r="B98" s="6" t="s">
        <v>107</v>
      </c>
      <c r="C98" s="7" t="s">
        <v>7</v>
      </c>
      <c r="D98" s="6" t="s">
        <v>6</v>
      </c>
    </row>
    <row r="99" spans="1:4" ht="76.5">
      <c r="A99" s="1"/>
      <c r="B99" s="6" t="s">
        <v>108</v>
      </c>
      <c r="C99" s="7" t="s">
        <v>7</v>
      </c>
      <c r="D99" s="6" t="s">
        <v>6</v>
      </c>
    </row>
    <row r="100" spans="1:4" ht="30.75">
      <c r="A100" s="1"/>
      <c r="B100" s="6" t="s">
        <v>109</v>
      </c>
      <c r="C100" s="7" t="s">
        <v>6</v>
      </c>
      <c r="D100" s="6" t="s">
        <v>6</v>
      </c>
    </row>
    <row r="101" spans="1:4" ht="60.75">
      <c r="A101" s="1"/>
      <c r="B101" s="6" t="s">
        <v>110</v>
      </c>
      <c r="C101" s="7" t="s">
        <v>7</v>
      </c>
      <c r="D101" s="6" t="s">
        <v>7</v>
      </c>
    </row>
    <row r="102" spans="1:4" ht="30.75">
      <c r="A102" s="1"/>
      <c r="B102" s="6" t="s">
        <v>111</v>
      </c>
      <c r="C102" s="7" t="s">
        <v>6</v>
      </c>
      <c r="D102" s="6" t="s">
        <v>6</v>
      </c>
    </row>
    <row r="103" spans="1:4" ht="76.5">
      <c r="A103" s="1"/>
      <c r="B103" s="6" t="s">
        <v>112</v>
      </c>
      <c r="C103" s="7" t="s">
        <v>6</v>
      </c>
      <c r="D103" s="6" t="s">
        <v>6</v>
      </c>
    </row>
    <row r="104" spans="1:4" ht="30.75">
      <c r="A104" s="1"/>
      <c r="B104" s="6" t="s">
        <v>113</v>
      </c>
      <c r="C104" s="7" t="s">
        <v>6</v>
      </c>
      <c r="D104" s="6" t="s">
        <v>6</v>
      </c>
    </row>
    <row r="105" spans="1:4" ht="60.75">
      <c r="A105" s="1"/>
      <c r="B105" s="6" t="s">
        <v>114</v>
      </c>
      <c r="C105" s="7" t="s">
        <v>6</v>
      </c>
      <c r="D105" s="6" t="s">
        <v>6</v>
      </c>
    </row>
    <row r="106" spans="1:4" ht="60.75">
      <c r="A106" s="1"/>
      <c r="B106" s="6" t="s">
        <v>115</v>
      </c>
      <c r="C106" s="7" t="s">
        <v>6</v>
      </c>
      <c r="D106" s="6" t="s">
        <v>6</v>
      </c>
    </row>
    <row r="107" spans="1:4" ht="30.75">
      <c r="A107" s="1"/>
      <c r="B107" s="6" t="s">
        <v>116</v>
      </c>
      <c r="C107" s="7" t="s">
        <v>6</v>
      </c>
      <c r="D107" s="6" t="s">
        <v>7</v>
      </c>
    </row>
    <row r="108" spans="1:4" ht="60.75">
      <c r="A108" s="1"/>
      <c r="B108" s="6" t="s">
        <v>117</v>
      </c>
      <c r="C108" s="7" t="s">
        <v>79</v>
      </c>
      <c r="D108" s="6" t="s">
        <v>6</v>
      </c>
    </row>
    <row r="109" spans="1:4" ht="106.5">
      <c r="A109" s="1"/>
      <c r="B109" s="6" t="s">
        <v>118</v>
      </c>
      <c r="C109" s="7" t="s">
        <v>6</v>
      </c>
      <c r="D109" s="6" t="s">
        <v>6</v>
      </c>
    </row>
    <row r="110" spans="1:4" ht="60.75">
      <c r="A110" s="1"/>
      <c r="B110" s="6" t="s">
        <v>119</v>
      </c>
      <c r="C110" s="7" t="s">
        <v>7</v>
      </c>
      <c r="D110" s="6" t="s">
        <v>7</v>
      </c>
    </row>
    <row r="111" spans="1:4" ht="106.5">
      <c r="A111" s="1" t="s">
        <v>120</v>
      </c>
      <c r="B111" s="6" t="s">
        <v>121</v>
      </c>
      <c r="C111" s="7" t="s">
        <v>7</v>
      </c>
      <c r="D111" s="6" t="s">
        <v>7</v>
      </c>
    </row>
    <row r="112" spans="1:4" ht="183">
      <c r="A112" s="1"/>
      <c r="B112" s="6" t="s">
        <v>122</v>
      </c>
      <c r="C112" s="7" t="s">
        <v>7</v>
      </c>
      <c r="D112" s="6" t="s">
        <v>7</v>
      </c>
    </row>
    <row r="113" spans="1:4" ht="60.75">
      <c r="A113" s="1"/>
      <c r="B113" s="6" t="s">
        <v>123</v>
      </c>
      <c r="C113" s="7" t="s">
        <v>7</v>
      </c>
      <c r="D113" s="6" t="s">
        <v>7</v>
      </c>
    </row>
    <row r="114" spans="1:4" ht="213">
      <c r="A114" s="1"/>
      <c r="B114" s="6" t="s">
        <v>124</v>
      </c>
      <c r="C114" s="7" t="s">
        <v>7</v>
      </c>
      <c r="D114" s="6" t="s">
        <v>7</v>
      </c>
    </row>
    <row r="115" spans="1:4" ht="60.75">
      <c r="A115" s="1"/>
      <c r="B115" s="6" t="s">
        <v>125</v>
      </c>
      <c r="C115" s="7" t="s">
        <v>7</v>
      </c>
      <c r="D115" s="6" t="s">
        <v>7</v>
      </c>
    </row>
    <row r="116" spans="1:4" ht="366">
      <c r="A116" s="1"/>
      <c r="B116" s="6" t="s">
        <v>126</v>
      </c>
      <c r="C116" s="7" t="s">
        <v>7</v>
      </c>
      <c r="D116" s="6" t="s">
        <v>7</v>
      </c>
    </row>
    <row r="117" spans="1:4" ht="45.75">
      <c r="A117" s="1"/>
      <c r="B117" s="6" t="s">
        <v>127</v>
      </c>
      <c r="C117" s="7" t="s">
        <v>7</v>
      </c>
      <c r="D117" s="6" t="s">
        <v>6</v>
      </c>
    </row>
    <row r="118" spans="1:4" ht="45.75">
      <c r="A118" s="1"/>
      <c r="B118" s="6" t="s">
        <v>128</v>
      </c>
      <c r="C118" s="7" t="s">
        <v>7</v>
      </c>
      <c r="D118" s="6" t="s">
        <v>6</v>
      </c>
    </row>
    <row r="119" spans="1:4" ht="45.75">
      <c r="A119" s="1"/>
      <c r="B119" s="6" t="s">
        <v>129</v>
      </c>
      <c r="C119" s="7" t="s">
        <v>7</v>
      </c>
      <c r="D119" s="6" t="s">
        <v>6</v>
      </c>
    </row>
    <row r="120" spans="1:4" ht="60.75">
      <c r="A120" s="1"/>
      <c r="B120" s="6" t="s">
        <v>130</v>
      </c>
      <c r="C120" s="7" t="s">
        <v>7</v>
      </c>
      <c r="D120" s="6" t="s">
        <v>6</v>
      </c>
    </row>
    <row r="121" spans="1:4" ht="30.75">
      <c r="A121" s="1"/>
      <c r="B121" s="6" t="s">
        <v>131</v>
      </c>
      <c r="C121" s="7" t="s">
        <v>7</v>
      </c>
      <c r="D121" s="6" t="s">
        <v>6</v>
      </c>
    </row>
    <row r="122" spans="1:4" ht="45.75">
      <c r="A122" s="1"/>
      <c r="B122" s="6" t="s">
        <v>132</v>
      </c>
      <c r="C122" s="7" t="s">
        <v>7</v>
      </c>
      <c r="D122" s="6" t="s">
        <v>6</v>
      </c>
    </row>
    <row r="123" spans="1:4" ht="30.75">
      <c r="A123" s="1"/>
      <c r="B123" s="6" t="s">
        <v>133</v>
      </c>
      <c r="C123" s="7" t="s">
        <v>7</v>
      </c>
      <c r="D123" s="6" t="s">
        <v>6</v>
      </c>
    </row>
    <row r="124" spans="1:4">
      <c r="A124" s="1"/>
      <c r="B124" s="6" t="s">
        <v>134</v>
      </c>
      <c r="C124" s="7" t="s">
        <v>6</v>
      </c>
      <c r="D124" s="6" t="s">
        <v>6</v>
      </c>
    </row>
    <row r="125" spans="1:4" ht="30.75">
      <c r="A125" s="1"/>
      <c r="B125" s="6" t="s">
        <v>135</v>
      </c>
      <c r="C125" s="7" t="s">
        <v>6</v>
      </c>
      <c r="D125" s="6" t="s">
        <v>6</v>
      </c>
    </row>
    <row r="126" spans="1:4" ht="30.75">
      <c r="A126" s="1"/>
      <c r="B126" s="6" t="s">
        <v>136</v>
      </c>
      <c r="C126" s="7" t="s">
        <v>7</v>
      </c>
      <c r="D126" s="6" t="s">
        <v>6</v>
      </c>
    </row>
    <row r="127" spans="1:4" ht="30.75">
      <c r="A127" s="1"/>
      <c r="B127" s="6" t="s">
        <v>137</v>
      </c>
      <c r="C127" s="7" t="s">
        <v>6</v>
      </c>
      <c r="D127" s="6" t="s">
        <v>6</v>
      </c>
    </row>
    <row r="128" spans="1:4" ht="167.25">
      <c r="A128" s="1"/>
      <c r="B128" s="6" t="s">
        <v>138</v>
      </c>
      <c r="C128" s="7" t="s">
        <v>7</v>
      </c>
      <c r="D128" s="6" t="s">
        <v>7</v>
      </c>
    </row>
    <row r="129" spans="1:4">
      <c r="B129" t="s">
        <v>139</v>
      </c>
    </row>
    <row r="131" spans="1:4">
      <c r="A131" s="9"/>
      <c r="B131" t="s">
        <v>140</v>
      </c>
      <c r="D131">
        <f>COUNTIFS(C:C, "Yes", D:D, "Yes")</f>
        <v>61</v>
      </c>
    </row>
    <row r="132" spans="1:4">
      <c r="B132" t="s">
        <v>141</v>
      </c>
      <c r="D132">
        <f>COUNTIFS(C:C, "Yes", D:D, "No")</f>
        <v>21</v>
      </c>
    </row>
    <row r="133" spans="1:4">
      <c r="B133" t="s">
        <v>142</v>
      </c>
      <c r="D133">
        <f>COUNTIFS(C:C, "No", D:D, "Yes")</f>
        <v>2</v>
      </c>
    </row>
    <row r="134" spans="1:4">
      <c r="B134" t="s">
        <v>143</v>
      </c>
      <c r="D134">
        <f>COUNTIFS(C:C, "No", D:D, "No")</f>
        <v>43</v>
      </c>
    </row>
    <row r="136" spans="1:4">
      <c r="B136" t="s">
        <v>144</v>
      </c>
      <c r="D136" s="10">
        <f>D131/B140 * 100</f>
        <v>74.390243902439025</v>
      </c>
    </row>
    <row r="137" spans="1:4">
      <c r="B137" t="s">
        <v>145</v>
      </c>
      <c r="D137" s="10">
        <f>D133/B141 * 100</f>
        <v>4.4444444444444446</v>
      </c>
    </row>
    <row r="140" spans="1:4">
      <c r="A140" t="s">
        <v>146</v>
      </c>
      <c r="B140">
        <f>COUNTIFS(C:C, "Yes")</f>
        <v>82</v>
      </c>
    </row>
    <row r="141" spans="1:4">
      <c r="A141" t="s">
        <v>147</v>
      </c>
      <c r="B141">
        <f>COUNTIFS(C:C, "No")</f>
        <v>45</v>
      </c>
    </row>
  </sheetData>
  <mergeCells count="5">
    <mergeCell ref="A2:A35"/>
    <mergeCell ref="A36:A63"/>
    <mergeCell ref="A64:A89"/>
    <mergeCell ref="A90:A110"/>
    <mergeCell ref="A111:A128"/>
  </mergeCells>
  <conditionalFormatting sqref="D2:D138">
    <cfRule type="containsText" dxfId="1" priority="2" operator="containsText" text="No">
      <formula>NOT(ISERROR(SEARCH("No",D2)))</formula>
    </cfRule>
    <cfRule type="containsText" dxfId="0" priority="3" operator="containsText" text="Yes">
      <formula>NOT(ISERROR(SEARCH("Yes",D2)))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"/>
  <sheetViews>
    <sheetView tabSelected="1" topLeftCell="C2" zoomScaleNormal="100" workbookViewId="0">
      <selection activeCell="E2" sqref="E2"/>
    </sheetView>
  </sheetViews>
  <sheetFormatPr defaultColWidth="9.140625" defaultRowHeight="15"/>
  <cols>
    <col min="1" max="1" width="15.7109375" style="9" customWidth="1"/>
    <col min="2" max="2" width="29.42578125" style="9" customWidth="1"/>
    <col min="3" max="3" width="21.7109375" style="9" customWidth="1"/>
    <col min="4" max="4" width="20.7109375" style="9" customWidth="1"/>
    <col min="5" max="5" width="19.5703125" style="9" customWidth="1"/>
    <col min="6" max="6" width="19.140625" style="9" customWidth="1"/>
    <col min="7" max="7" width="33.7109375" style="9" customWidth="1"/>
    <col min="8" max="8" width="38.5703125" style="9" customWidth="1"/>
    <col min="9" max="9" width="24.85546875" style="9" customWidth="1"/>
    <col min="10" max="10" width="25.5703125" style="9" customWidth="1"/>
    <col min="11" max="1024" width="9.140625" style="9"/>
  </cols>
  <sheetData>
    <row r="1" spans="1:10" ht="16.5">
      <c r="A1" s="11" t="s">
        <v>148</v>
      </c>
      <c r="B1" s="12" t="s">
        <v>149</v>
      </c>
      <c r="C1" s="12" t="s">
        <v>150</v>
      </c>
      <c r="D1" s="12" t="s">
        <v>151</v>
      </c>
      <c r="E1" s="12" t="s">
        <v>152</v>
      </c>
      <c r="F1" s="12" t="s">
        <v>153</v>
      </c>
      <c r="G1" s="12" t="s">
        <v>154</v>
      </c>
      <c r="H1" s="12" t="s">
        <v>155</v>
      </c>
      <c r="I1" s="12" t="s">
        <v>156</v>
      </c>
      <c r="J1" s="12" t="s">
        <v>157</v>
      </c>
    </row>
    <row r="2" spans="1:10" ht="409.5">
      <c r="A2" s="13" t="s">
        <v>158</v>
      </c>
      <c r="B2" s="14" t="s">
        <v>159</v>
      </c>
      <c r="C2" s="15">
        <v>99000</v>
      </c>
      <c r="D2" s="14" t="s">
        <v>160</v>
      </c>
      <c r="E2" s="16">
        <f>C2/27</f>
        <v>3666.6666666666665</v>
      </c>
      <c r="F2" s="14" t="s">
        <v>161</v>
      </c>
      <c r="G2" s="14" t="s">
        <v>162</v>
      </c>
      <c r="H2" s="14" t="s">
        <v>163</v>
      </c>
      <c r="I2" s="17" t="s">
        <v>164</v>
      </c>
      <c r="J2" s="14"/>
    </row>
  </sheetData>
  <hyperlinks>
    <hyperlink ref="I2" r:id="rId1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2026-02-13T09:26:47Z</dcterms:created>
  <dcterms:modified xsi:type="dcterms:W3CDTF">2026-02-13T11:15:34Z</dcterms:modified>
  <cp:category/>
  <cp:contentStatus/>
</cp:coreProperties>
</file>